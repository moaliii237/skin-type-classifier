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sus\Desktop\Block C final templates\"/>
    </mc:Choice>
  </mc:AlternateContent>
  <xr:revisionPtr revIDLastSave="0" documentId="8_{8A77CC58-FD7A-4567-844F-78A1D1A0715B}" xr6:coauthVersionLast="47" xr6:coauthVersionMax="47" xr10:uidLastSave="{00000000-0000-0000-0000-000000000000}"/>
  <bookViews>
    <workbookView xWindow="-108" yWindow="-108" windowWidth="23256" windowHeight="12456" xr2:uid="{36752522-E1FD-4017-809B-AF04DFD32FFF}"/>
  </bookViews>
  <sheets>
    <sheet name="Rubric Y1C - ADS&amp;A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1" i="1" l="1"/>
  <c r="K15" i="1"/>
  <c r="K19" i="1"/>
  <c r="K23" i="1"/>
  <c r="K27" i="1"/>
  <c r="K35" i="1"/>
  <c r="K39" i="1"/>
  <c r="M41" i="1"/>
  <c r="K41" i="1" l="1"/>
  <c r="K4" i="1" s="1"/>
  <c r="L4" i="1" s="1"/>
</calcChain>
</file>

<file path=xl/sharedStrings.xml><?xml version="1.0" encoding="utf-8"?>
<sst xmlns="http://schemas.openxmlformats.org/spreadsheetml/2006/main" count="249" uniqueCount="142">
  <si>
    <t>Details</t>
  </si>
  <si>
    <t>Comments</t>
  </si>
  <si>
    <t>Final grade</t>
  </si>
  <si>
    <t>Student Number</t>
  </si>
  <si>
    <t>&lt;&lt; fill in your self-assessment comments, any other academic feedback for the 8 weeks of work &gt;&gt;</t>
  </si>
  <si>
    <t>Student Name</t>
  </si>
  <si>
    <t>Project</t>
  </si>
  <si>
    <t>FAI1.P3</t>
  </si>
  <si>
    <t>Opportunity</t>
  </si>
  <si>
    <t>Project Deadline</t>
  </si>
  <si>
    <t>Grading Rubric</t>
  </si>
  <si>
    <t>PRE-REQUISITES</t>
  </si>
  <si>
    <t>ILO COMPONENTS</t>
  </si>
  <si>
    <t>Score</t>
  </si>
  <si>
    <t>Total</t>
  </si>
  <si>
    <t>ILO 1</t>
  </si>
  <si>
    <t>Professional Practice. 
The student can collaborate (internationally) in multidisciplinary teams with different levels of knowledge in the field of data use and applications. They can set up and execute projects in collaboration with stakeholders and team members. They can act as a sounding board in discussions with team members, customers, users and experts. They strive for a good balance between input of their own vision and additional expertise of others. They are able to lead a team. </t>
  </si>
  <si>
    <t>Pre-requisites</t>
  </si>
  <si>
    <t>B (2 points)</t>
  </si>
  <si>
    <t>/</t>
  </si>
  <si>
    <t>Points:</t>
  </si>
  <si>
    <t>ILO 2</t>
  </si>
  <si>
    <t xml:space="preserve">Personal Development &amp; Academic Practice. 
The student applies relevant (research) methods and techniques in combination with relevant and adequate argumentation. They can reflect on (business) processes and their role in them, both theoretically and practically, by constantly evaluating their own actions and adapting them with input from others. They can translate the result of the reflection into concrete personal learning objectives. </t>
  </si>
  <si>
    <t>ILO 3</t>
  </si>
  <si>
    <t xml:space="preserve">Ethical and Legal Responsibility.
The student is aware of legal and ethical aspects within the context of their professional work environment and is able to make substantiated considerations in this regard. They act with justice and integrity. </t>
  </si>
  <si>
    <t>A (Points: 3)</t>
  </si>
  <si>
    <t>ILO 4</t>
  </si>
  <si>
    <t>Problem Analysis. 
The student can analyze a problem by describing the context, trade-offs and formulation of the final demand (as a result of a process of demand articulation). In doing so, they identify the possible solutions. As a result, they can formulate an approach for a data trajectory considering relevant actors and interests, involving relevant theories and (technical) possibilities. </t>
  </si>
  <si>
    <t>ILO 6</t>
  </si>
  <si>
    <t>Data Collection and Processing. 
The student masters (technological) skills to acquire, pre-process, process and manage the necessary data to create value for individuals, organizations and domains. </t>
  </si>
  <si>
    <t>ILO 8</t>
  </si>
  <si>
    <t>Modelling. 
The student can apply modelling techniques including Machine Learning and AI to create value for individuals, organizations and domains.</t>
  </si>
  <si>
    <t>ILO 9</t>
  </si>
  <si>
    <t>Design, Prototyping and Implementation. 
The student can develop a prototype using an iterative cycle, explicitly involving stakeholders, and implement applications within an (existing) architecture. </t>
  </si>
  <si>
    <t>PROJECT TOTAL</t>
  </si>
  <si>
    <t>CRISP-DM Cycle</t>
  </si>
  <si>
    <t>CRISP Phase</t>
  </si>
  <si>
    <t>Competency</t>
  </si>
  <si>
    <t>Description</t>
  </si>
  <si>
    <t>Graduate Level</t>
  </si>
  <si>
    <t>Professional Development</t>
  </si>
  <si>
    <t xml:space="preserve">Project management and cooperation </t>
  </si>
  <si>
    <t>The student can collaborate (internationally) in multidisciplinary teams with different levels of knowledge in the field of data use and applications. The student can set up and execute projects in collaboration with stakeholders and team members. The student can act as a sounding board in discussions with team members, customers, users and experts. The student strives for a good balance between input of her own vision and additional expertise of others. The student is able to lead a team.</t>
  </si>
  <si>
    <t xml:space="preserve">Researching and reflective attitude </t>
  </si>
  <si>
    <t>The student applies relevant (research) methods and techniques in combination with relevant and adequate argumentation. The student can reflect on (business) processes and her role in them, both theoretically and practically, by constantly evaluating her own actions and adapting them with input from others. The student can translate the result of the reflection into concrete personal learning objectives.</t>
  </si>
  <si>
    <t>Responsibility</t>
  </si>
  <si>
    <t>The student is aware of legal and ethical aspects within the context of her professional work environment and is able to make substantiated considerations in this regard. The student acts from justice and integrity.</t>
  </si>
  <si>
    <t>Business understanding</t>
  </si>
  <si>
    <t>Problem analysis</t>
  </si>
  <si>
    <t>The student cn analyse a problem by describing the context, trade-offs and formulation of the final demand (as a result of a process of demand articulation). In doing so, The student identifies the possible solutions. As a result, The student can formulate an approach for a data trajectory considering relevant actors and interests, involving relevant theories and (technical) possibilities.</t>
  </si>
  <si>
    <t>Domain knowledge</t>
  </si>
  <si>
    <t>The student has such knowledge of and insight into one or more domains that The student can function as a discussion partner for experts. The student is able to quickly immerse herself in new domains and associated professional networks.</t>
  </si>
  <si>
    <t>Data understanding</t>
  </si>
  <si>
    <t>Data collection and processing</t>
  </si>
  <si>
    <t>The student masters (programming) skills to acquire, pre-process, process and manage the necessary data to create value for individuals, organizations and domains.</t>
  </si>
  <si>
    <t>Data preparation</t>
  </si>
  <si>
    <t>Data analysis</t>
  </si>
  <si>
    <t>The studentan can use analytical and statistical methods to analyse data to create value for individuals, organizations and domains.</t>
  </si>
  <si>
    <t>Modelling</t>
  </si>
  <si>
    <t>The studentan apply modelling techniques including Machine Learning and AI to create value for individuals, organizations and domains.</t>
  </si>
  <si>
    <t>Design, prototyping and implementation</t>
  </si>
  <si>
    <t>The studentan develop a prototype using an iterative cycle, explicitly involving stakeholders, and implement applications within an (existing) architecture.</t>
  </si>
  <si>
    <t>Evaluation &amp; Deployment</t>
  </si>
  <si>
    <t>Visualisation</t>
  </si>
  <si>
    <t>The student can apply visualization and storytelling techniques and skills to effectively and accurately inform stakeholders about (interim) results of AI and DS approaches.</t>
  </si>
  <si>
    <t>Reporting and advising</t>
  </si>
  <si>
    <t>The studentan can translate (interim) results into effective reporting. The student sees opportunities and possibilities and can translate these from a market-oriented vision into new concepts, products or services, while keeping the business side of the organization in mind.</t>
  </si>
  <si>
    <t> </t>
  </si>
  <si>
    <t>Dublin Descriptors</t>
  </si>
  <si>
    <t>#</t>
  </si>
  <si>
    <t>Outcomes</t>
  </si>
  <si>
    <t>First cycle qualifications (Bachelor Level)
Qualifications that signify completion of the first cycle are awarded to students who:</t>
  </si>
  <si>
    <t>Second cycle qualifications (Master Level)
Qualifications that signify completion of the second cycle are awarded to students who:</t>
  </si>
  <si>
    <t>Knowledge and Understanding</t>
  </si>
  <si>
    <t>Have demonstrated knowledge and understanding in a field of study that builds upon their general secondary education, and is typically at a level that, while supported by advanced textbooks, includes some aspects that will be informed by knowledge of the forefront of their field of study.</t>
  </si>
  <si>
    <t>Have demonstrated knowledge and understanding that is founded upon and extends and/or enhances that typically associated with the first cycle, and that provides a basis or opportunity for originality in developing and/or applying ideas, often within a research context.</t>
  </si>
  <si>
    <t>Applying Knowledge and Understanding</t>
  </si>
  <si>
    <t>Can apply their knowledge and understanding in a manner that indicates a professional approach to their work or vocation, and have competences typically demonstrated through devising and sustaining arguments and solving problems within their field of study.</t>
  </si>
  <si>
    <t>Can apply their knowledge and understanding, and problem solving abilities in new or unfamiliar environments within broader (or multidisciplinary) contexts related to their field of study.</t>
  </si>
  <si>
    <t>Making Judgements</t>
  </si>
  <si>
    <t>Have the ability to gather and interpret relevant data (usually within their field of study) to inform judgements that include reflection on relevant social, scientific or ethical issues.</t>
  </si>
  <si>
    <t>Have the ability to integrate knowledge and handle complexity, and formulate judgements with incomplete or limited information, but that include reflecting on social and ethical responsibilities linked to the application of their knowledge and judgements.</t>
  </si>
  <si>
    <t>Communication</t>
  </si>
  <si>
    <t>Can communicate information, ideas, problems and solutions to both specialist and non- specialist audiences.</t>
  </si>
  <si>
    <t>Can communicate their conclusions, and the knowledge and rationale underpinning these, to specialist and non-specialist audiences clearly and unambiguously.</t>
  </si>
  <si>
    <t>Learning Skills</t>
  </si>
  <si>
    <t>Have developed those learning skills that are necessary for them to continue to undertake further study with a high degree of autonomy.</t>
  </si>
  <si>
    <t>Have the learning skills to allow them to continue to study in a manner that may be largely self-directed or autonomous.</t>
  </si>
  <si>
    <t>1.3 The student demonstrates the ability to prepare for and contribute to professional events by reviewing materials, completing preparation tasks, and leading collaborative discussions to address personal and professional challenges.</t>
  </si>
  <si>
    <t>A (3 points)</t>
  </si>
  <si>
    <t>C (5 points)</t>
  </si>
  <si>
    <t>The student demonstrates the ability to lead stand-up sessions by effectively addressing assigned topics, guiding discussions, encouraging peer contributions, and maintaining an organized and engaging session.</t>
  </si>
  <si>
    <t>A (Points: 4)</t>
  </si>
  <si>
    <t>B (Points: 6)</t>
  </si>
  <si>
    <t>The student demonstrates the ability to pre-process an image dataset by organizing it with a clear structure, labeling images appropriately, and performing data-cleaning tasks to remove irrelevant or duplicate images. The student also standardizes the dataset to ensure consistency in image format and prepares it for deep learning by splitting the dataset into training, validation, and test sets.</t>
  </si>
  <si>
    <t>6.2 The student demonstrates the ability to create an image dataset for deep learning by collecting and pre-processing relevant data aligned with the business goals of the project.</t>
  </si>
  <si>
    <t>The student is able to create an image dataset that aligns with the business objectives and project requirements, ensuring it contains the necessary classes and is sufficiently diverse and complete for training a deep learning model.</t>
  </si>
  <si>
    <t>8.2 The student demonstrates the ability to train and evaluate deep learning models for image classification while exploring the iterative nature of the machine learning project lifecycle to optimize model performance.</t>
  </si>
  <si>
    <t>The student is able to establish baselines for an image classification task according to business objectives and project requirements.</t>
  </si>
  <si>
    <t>The student demonstrates the ability to work with small image datasets by applying and evaluating data augmentation and transfer learning methods in an image classification task.</t>
  </si>
  <si>
    <t>The student is able to perform error analysis on their deep learning models by identifying key patterns in misclassifications, diagnosing potential causes, and proposing actionable improvements to enhance model performance.</t>
  </si>
  <si>
    <t>The student demonstrates an understanding of the iterative nature of the machine learning project lifecycle by performing and documenting multiple iterations to optimize model performance, providing clear and logical justifications for their decisions.</t>
  </si>
  <si>
    <t>E (Points: 6)</t>
  </si>
  <si>
    <t>The student demonstrates the ability to design, train, and evaluate a convolutional neural network for image classification aligned with the project requirements and business objectives.</t>
  </si>
  <si>
    <t>C (Points: 4)</t>
  </si>
  <si>
    <t>B (Points: 4)</t>
  </si>
  <si>
    <t>D (Points: 3)</t>
  </si>
  <si>
    <t>C (Points: 3)</t>
  </si>
  <si>
    <t>2.3 The student actively participates in the public speaking workshop and delivers a clear, well-structured presentation with confidence, clarity, and effective nonverbal communication.</t>
  </si>
  <si>
    <t>B (5 points)</t>
  </si>
  <si>
    <t>4.1 The student is able to identify a data analytics problem and generate an idea for an AI application that addresses the problem, delivering value to an organization or industry and its customers.</t>
  </si>
  <si>
    <t>Dublin Descriptors: 1,2,3,4,5</t>
  </si>
  <si>
    <t>Dublin Descriptors: 1, 2, 3, 4</t>
  </si>
  <si>
    <t>The student conveys ideas in a presentation with clarity and enthusiasm, demonstrating confidence through articulate speech and purposeful nonverbal communication.</t>
  </si>
  <si>
    <t>The student submits a complete learning log, work log, and self-assessment rubric. The student exhibits professional behaviour during DataLab sessions.</t>
  </si>
  <si>
    <t>The student demonstrates the ability to prepare effectively for DataLab sessions by adequately completing the assigned preparation tasks before the corresponding session.</t>
  </si>
  <si>
    <t xml:space="preserve">The student demonstrates active participation in stand-up sessions by attending consistently, providing clear and thoughtful responses to stand-up questions, and engaging constructively in discussions.	</t>
  </si>
  <si>
    <t>The student submits a complete learning log, work log, and self-assessment rubric. The student exhibits professional behaviour during DataLab sessions. The student actively participates in the public speaking workshop. The student presents the results of the project in the final presentation.</t>
  </si>
  <si>
    <t>A (5 points)</t>
  </si>
  <si>
    <t>3.2 The student is able to identify and describe the limitations of a deep learning-based AI algorithm in terms of bias, fairness, transparency, and interpretability, and subsequently apply methods that address these limitations. Furthermore, they prepare for and actively engage in discussions on these topics, showcasing their understanding and ability to critically evaluate the ethical implications.</t>
  </si>
  <si>
    <t>The student identifies and describes an instance of bias in an image dataset and analyzes the potential representational harm it could cause to individuals or groups. The student proposes an individual fairness method to address the identified bias, explaining its effectiveness in the chosen use case.</t>
  </si>
  <si>
    <t>The student correctly applies an explainable AI method to enhance the transparency or interpretability of a deep learning model trained on their created image dataset. The student demonstrates a foundational understanding of the method by clearly articulating its purpose, implementation, and the insights it provides for evaluating the model's performance, understanding its behavior, and interpreting its outputs.</t>
  </si>
  <si>
    <t>D (Points: 5)</t>
  </si>
  <si>
    <t>B (Points: 3)</t>
  </si>
  <si>
    <t>The student is able to create an idea for an application that aligns with the data analytics problem, addresses stakeholder needs, and contributes to solving the problem within a specific industry or organization. The student can provide enough evidence to defend the business value of the proposed idea.</t>
  </si>
  <si>
    <t>The student conducts market research for product development supported by statistical data and justifications, resulting in a clear problem definition within a specific industry or organization. The student identifies and analyzes the key stakeholder groups and determines the main stakeholder by prioritizing them. The student explains the main stakeholder's needs, priorities and expectations, and links them to the identified problem in the industry or organization, highlighting their role in solving the problem.</t>
  </si>
  <si>
    <t>The student submits a complete learning log, work log, and self-assessment rubric. The student exhibits professional behaviour during DataLab sessions. The dataset is evidenced in the learning log.</t>
  </si>
  <si>
    <t xml:space="preserve">The student submits a complete learning log, work log, and self-assessment rubric. The student exhibits professional behaviour during DataLab sessions. </t>
  </si>
  <si>
    <t>9.1 The student is able to develop a prototype for an application involving AI. The student can involve the stakeholder in the process using various user research methods.</t>
  </si>
  <si>
    <t xml:space="preserve">The student creates a functional prototype suitable for the chosen AI application. The prototype is accessible and testable, demonstrating clear integration of user-experience and human-centered AI design principles.
</t>
  </si>
  <si>
    <t xml:space="preserve">The student designs a suitable qualitative user study to evaluate the design of their prototype. They collect enough data and effectively analyze the study results using appropriate qualitative analysis methods. The findings of the study are evaluated. The student uses the findings to either validate or improve the application design.
</t>
  </si>
  <si>
    <t xml:space="preserve">The student designs a suitable quantitative study to evaluate the design of their prototype. They collect enough data and effectively analyze the study results using appropriate quantitative methods. The findings of the study are evaluated. The student uses the findings to either validate or improve the application design.
</t>
  </si>
  <si>
    <t xml:space="preserve">The prototype or application is presented through a clear and concise demonstration.
</t>
  </si>
  <si>
    <t>The student delivers a presentation with a clear introduction, logically ordered content, and a concise conclusion, using slides with appropriately sized text, minimal but informative text, properly resolved images, and well-formatted plots.</t>
  </si>
  <si>
    <t>The student constructs well-reasoned arguments for ethical positions, defends those arguments with evidence and logic, and critically engages with opposing viewpoints in order to formulate their final position.</t>
  </si>
  <si>
    <t>The student appropriately applies a problem-structuring framework to a project to ensure its relevance to technical, organizational, and/or industry goals.</t>
  </si>
  <si>
    <t>C (Points: 8)</t>
  </si>
  <si>
    <t>D (Points: 8)</t>
  </si>
  <si>
    <t>First Opportunity</t>
  </si>
  <si>
    <t>The student provides a clear explanation of the concept of group fairness, supports it with appropriate evaluation metrics, and demonstrates its practical application through one or more relevant use cases.</t>
  </si>
  <si>
    <t>Mohammadali Jaberi</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</si>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</sst>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0"/>
      <name val="Calibri"/>
      <family val="2"/>
    </font>
    <font>
      <sz val="10"/>
      <color theme="0"/>
      <name val="Calibri"/>
      <family val="2"/>
    </font>
    <font>
      <b/>
      <sz val="10"/>
      <color theme="0"/>
      <name val="Calibri"/>
      <family val="2"/>
    </font>
    <font>
      <b/>
      <sz val="10"/>
      <color rgb="FFFFFFFF"/>
      <name val="Calibri"/>
      <family val="2"/>
    </font>
    <font>
      <b/>
      <sz val="14"/>
      <name val="Calibri"/>
      <family val="2"/>
    </font>
    <font>
      <b/>
      <sz val="24"/>
      <color theme="1"/>
      <name val="Calibri"/>
      <family val="2"/>
    </font>
    <font>
      <sz val="14"/>
      <color theme="1"/>
      <name val="Calibri"/>
      <family val="2"/>
    </font>
    <font>
      <sz val="10"/>
      <color theme="1"/>
      <name val="Calibri"/>
      <family val="2"/>
    </font>
    <font>
      <b/>
      <sz val="10"/>
      <color theme="1"/>
      <name val="Calibri"/>
      <family val="2"/>
    </font>
    <font>
      <b/>
      <sz val="11"/>
      <color rgb="FF000000"/>
      <name val="Aptos"/>
      <family val="2"/>
    </font>
    <font>
      <sz val="14"/>
      <color rgb="FF000000"/>
      <name val="Calibri"/>
      <family val="2"/>
    </font>
    <font>
      <b/>
      <sz val="11"/>
      <color rgb="FF000000"/>
      <name val="Calibri"/>
      <family val="2"/>
    </font>
    <font>
      <sz val="11"/>
      <color theme="1"/>
      <name val="Calibri"/>
      <family val="2"/>
    </font>
    <font>
      <b/>
      <sz val="11"/>
      <color theme="1"/>
      <name val="Calibri"/>
      <family val="2"/>
    </font>
    <font>
      <sz val="10"/>
      <color rgb="FF000000"/>
      <name val="Calibri"/>
      <family val="2"/>
    </font>
    <font>
      <sz val="11"/>
      <name val="Calibri"/>
      <family val="2"/>
    </font>
    <font>
      <sz val="18"/>
      <color rgb="FF000000"/>
      <name val="Calibri"/>
      <family val="2"/>
    </font>
    <font>
      <sz val="9"/>
      <color rgb="FF000000"/>
      <name val="Calibri"/>
      <family val="2"/>
    </font>
    <font>
      <b/>
      <sz val="10"/>
      <name val="Calibri"/>
      <family val="2"/>
    </font>
    <font>
      <sz val="8"/>
      <name val="Aptos Narrow"/>
      <family val="2"/>
      <scheme val="minor"/>
    </font>
    <font>
      <i/>
      <sz val="18"/>
      <color rgb="FF000000"/>
      <name val="Calibri"/>
      <family val="2"/>
    </font>
    <font>
      <sz val="20"/>
      <color theme="1"/>
      <name val="Calibri"/>
      <family val="2"/>
    </font>
    <font>
      <sz val="18"/>
      <color theme="1"/>
      <name val="Calibri"/>
      <family val="2"/>
    </font>
    <font>
      <sz val="10"/>
      <color rgb="FF000000"/>
      <name val="Calibri"/>
    </font>
    <font>
      <b/>
      <sz val="11"/>
      <color rgb="FF000000"/>
      <name val="Calibri"/>
    </font>
  </fonts>
  <fills count="26">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theme="5" tint="0.79998168889431442"/>
        <bgColor indexed="64"/>
      </patternFill>
    </fill>
    <fill>
      <patternFill patternType="solid">
        <fgColor theme="1"/>
        <bgColor rgb="FF000000"/>
      </patternFill>
    </fill>
    <fill>
      <patternFill patternType="solid">
        <fgColor theme="1"/>
        <bgColor rgb="FFFFFF00"/>
      </patternFill>
    </fill>
    <fill>
      <patternFill patternType="solid">
        <fgColor theme="1"/>
        <bgColor rgb="FFF7DCE8"/>
      </patternFill>
    </fill>
    <fill>
      <patternFill patternType="solid">
        <fgColor rgb="FF000000"/>
        <bgColor rgb="FF000000"/>
      </patternFill>
    </fill>
    <fill>
      <patternFill patternType="solid">
        <fgColor theme="1"/>
        <bgColor indexed="64"/>
      </patternFill>
    </fill>
    <fill>
      <patternFill patternType="solid">
        <fgColor theme="2" tint="-9.9978637043366805E-2"/>
        <bgColor indexed="64"/>
      </patternFill>
    </fill>
    <fill>
      <patternFill patternType="solid">
        <fgColor rgb="FFFEF2CD"/>
        <bgColor indexed="64"/>
      </patternFill>
    </fill>
    <fill>
      <patternFill patternType="solid">
        <fgColor rgb="FFFFE1CC"/>
        <bgColor indexed="64"/>
      </patternFill>
    </fill>
    <fill>
      <patternFill patternType="solid">
        <fgColor theme="5" tint="0.59999389629810485"/>
        <bgColor indexed="64"/>
      </patternFill>
    </fill>
    <fill>
      <patternFill patternType="solid">
        <fgColor rgb="FFBDBDBD"/>
        <bgColor rgb="FFBDBDBD"/>
      </patternFill>
    </fill>
    <fill>
      <patternFill patternType="solid">
        <fgColor theme="5"/>
        <bgColor theme="5"/>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0" tint="-4.9989318521683403E-2"/>
        <bgColor rgb="FFD9D9D9"/>
      </patternFill>
    </fill>
    <fill>
      <patternFill patternType="solid">
        <fgColor theme="0" tint="-0.249977111117893"/>
        <bgColor rgb="FFF3F3F3"/>
      </patternFill>
    </fill>
    <fill>
      <patternFill patternType="solid">
        <fgColor theme="0" tint="-0.249977111117893"/>
        <bgColor indexed="64"/>
      </patternFill>
    </fill>
    <fill>
      <patternFill patternType="solid">
        <fgColor theme="0" tint="-0.14999847407452621"/>
        <bgColor rgb="FFF3F3F3"/>
      </patternFill>
    </fill>
    <fill>
      <patternFill patternType="solid">
        <fgColor theme="0" tint="-0.14999847407452621"/>
        <bgColor indexed="64"/>
      </patternFill>
    </fill>
    <fill>
      <patternFill patternType="solid">
        <fgColor theme="0" tint="-0.249977111117893"/>
        <bgColor rgb="FFD9D9D9"/>
      </patternFill>
    </fill>
    <fill>
      <patternFill patternType="solid">
        <fgColor theme="0" tint="-0.14999847407452621"/>
        <bgColor rgb="FFD9D9D9"/>
      </patternFill>
    </fill>
    <fill>
      <patternFill patternType="solid">
        <fgColor rgb="FFD9D9D9"/>
        <bgColor rgb="FFD9D9D9"/>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17">
    <xf numFmtId="0" fontId="0" fillId="0" borderId="0" xfId="0"/>
    <xf numFmtId="0" fontId="1" fillId="2" borderId="0" xfId="0" applyFont="1" applyFill="1"/>
    <xf numFmtId="0" fontId="1" fillId="3" borderId="0" xfId="0" applyFont="1" applyFill="1"/>
    <xf numFmtId="0" fontId="0" fillId="3" borderId="0" xfId="0" applyFill="1"/>
    <xf numFmtId="0" fontId="1" fillId="4" borderId="0" xfId="0" applyFont="1" applyFill="1"/>
    <xf numFmtId="0" fontId="2" fillId="2" borderId="0" xfId="0" applyFont="1" applyFill="1"/>
    <xf numFmtId="0" fontId="2" fillId="4" borderId="0" xfId="0" applyFont="1" applyFill="1"/>
    <xf numFmtId="0" fontId="3" fillId="5" borderId="0" xfId="0" applyFont="1" applyFill="1" applyAlignment="1">
      <alignment horizontal="right"/>
    </xf>
    <xf numFmtId="49" fontId="3" fillId="6" borderId="0" xfId="0" applyNumberFormat="1" applyFont="1" applyFill="1" applyAlignment="1">
      <alignment horizontal="left"/>
    </xf>
    <xf numFmtId="0" fontId="4" fillId="8" borderId="0" xfId="0" applyFont="1" applyFill="1" applyAlignment="1">
      <alignment vertical="top"/>
    </xf>
    <xf numFmtId="0" fontId="4" fillId="8" borderId="0" xfId="0" applyFont="1" applyFill="1" applyAlignment="1">
      <alignment horizontal="center" vertical="top"/>
    </xf>
    <xf numFmtId="0" fontId="2" fillId="3" borderId="0" xfId="0" applyFont="1" applyFill="1"/>
    <xf numFmtId="0" fontId="5" fillId="4" borderId="0" xfId="0" applyFont="1" applyFill="1" applyAlignment="1">
      <alignment horizontal="center" vertical="center" textRotation="90"/>
    </xf>
    <xf numFmtId="0" fontId="4" fillId="8" borderId="0" xfId="0" applyFont="1" applyFill="1"/>
    <xf numFmtId="49" fontId="4" fillId="8" borderId="0" xfId="0" applyNumberFormat="1" applyFont="1" applyFill="1" applyAlignment="1">
      <alignment vertical="top"/>
    </xf>
    <xf numFmtId="49" fontId="4" fillId="8" borderId="0" xfId="0" applyNumberFormat="1" applyFont="1" applyFill="1" applyAlignment="1">
      <alignment horizontal="center"/>
    </xf>
    <xf numFmtId="49" fontId="4" fillId="9" borderId="0" xfId="0" applyNumberFormat="1" applyFont="1" applyFill="1" applyAlignment="1">
      <alignment horizontal="center"/>
    </xf>
    <xf numFmtId="49" fontId="4" fillId="4" borderId="0" xfId="0" applyNumberFormat="1" applyFont="1" applyFill="1" applyAlignment="1">
      <alignment horizontal="center"/>
    </xf>
    <xf numFmtId="0" fontId="8" fillId="4" borderId="0" xfId="0" applyFont="1" applyFill="1"/>
    <xf numFmtId="0" fontId="11" fillId="4" borderId="0" xfId="0" applyFont="1" applyFill="1" applyAlignment="1">
      <alignment horizontal="center" vertical="center" wrapText="1"/>
    </xf>
    <xf numFmtId="0" fontId="16" fillId="4" borderId="0" xfId="0" applyFont="1" applyFill="1"/>
    <xf numFmtId="0" fontId="13" fillId="4" borderId="0" xfId="0" applyFont="1" applyFill="1" applyAlignment="1">
      <alignment horizontal="right" vertical="center"/>
    </xf>
    <xf numFmtId="0" fontId="11" fillId="3" borderId="0" xfId="0" applyFont="1" applyFill="1" applyAlignment="1">
      <alignment horizontal="center" vertical="center" wrapText="1"/>
    </xf>
    <xf numFmtId="0" fontId="4" fillId="4" borderId="0" xfId="0" applyFont="1" applyFill="1" applyAlignment="1">
      <alignment vertical="top"/>
    </xf>
    <xf numFmtId="0" fontId="4" fillId="4" borderId="0" xfId="0" applyFont="1" applyFill="1" applyAlignment="1">
      <alignment horizontal="center" vertical="top"/>
    </xf>
    <xf numFmtId="0" fontId="15" fillId="9" borderId="0" xfId="0" applyFont="1" applyFill="1"/>
    <xf numFmtId="0" fontId="4" fillId="8" borderId="0" xfId="0" applyFont="1" applyFill="1" applyAlignment="1">
      <alignment horizontal="right" vertical="top"/>
    </xf>
    <xf numFmtId="0" fontId="9" fillId="16" borderId="0" xfId="0" applyFont="1" applyFill="1" applyAlignment="1">
      <alignment vertical="center" wrapText="1"/>
    </xf>
    <xf numFmtId="0" fontId="18" fillId="17" borderId="0" xfId="0" applyFont="1" applyFill="1" applyAlignment="1">
      <alignment horizontal="left" vertical="center" wrapText="1"/>
    </xf>
    <xf numFmtId="0" fontId="1" fillId="16" borderId="0" xfId="0" applyFont="1" applyFill="1" applyAlignment="1">
      <alignment horizontal="center" vertical="center"/>
    </xf>
    <xf numFmtId="0" fontId="9" fillId="18" borderId="0" xfId="0" applyFont="1" applyFill="1" applyAlignment="1">
      <alignment vertical="center" wrapText="1"/>
    </xf>
    <xf numFmtId="0" fontId="1" fillId="18" borderId="0" xfId="0" applyFont="1" applyFill="1" applyAlignment="1">
      <alignment horizontal="center" vertical="center"/>
    </xf>
    <xf numFmtId="0" fontId="9" fillId="19" borderId="0" xfId="0" applyFont="1" applyFill="1" applyAlignment="1">
      <alignment vertical="center" wrapText="1"/>
    </xf>
    <xf numFmtId="0" fontId="18" fillId="20" borderId="0" xfId="0" applyFont="1" applyFill="1" applyAlignment="1">
      <alignment horizontal="left" vertical="center" wrapText="1"/>
    </xf>
    <xf numFmtId="0" fontId="1" fillId="19" borderId="0" xfId="0" applyFont="1" applyFill="1" applyAlignment="1">
      <alignment horizontal="center" vertical="center"/>
    </xf>
    <xf numFmtId="0" fontId="9" fillId="21" borderId="0" xfId="0" applyFont="1" applyFill="1" applyAlignment="1">
      <alignment vertical="center" wrapText="1"/>
    </xf>
    <xf numFmtId="0" fontId="18" fillId="22" borderId="0" xfId="0" applyFont="1" applyFill="1" applyAlignment="1">
      <alignment horizontal="left" vertical="center" wrapText="1"/>
    </xf>
    <xf numFmtId="0" fontId="1" fillId="21" borderId="0" xfId="0" applyFont="1" applyFill="1" applyAlignment="1">
      <alignment horizontal="center" vertical="center"/>
    </xf>
    <xf numFmtId="0" fontId="1" fillId="2" borderId="0" xfId="0" applyFont="1" applyFill="1" applyAlignment="1">
      <alignment horizontal="left" vertical="top"/>
    </xf>
    <xf numFmtId="0" fontId="1" fillId="4" borderId="0" xfId="0" applyFont="1" applyFill="1" applyAlignment="1">
      <alignment horizontal="left" vertical="top"/>
    </xf>
    <xf numFmtId="0" fontId="9" fillId="23" borderId="0" xfId="0" applyFont="1" applyFill="1" applyAlignment="1">
      <alignment vertical="center" wrapText="1"/>
    </xf>
    <xf numFmtId="0" fontId="1" fillId="23" borderId="0" xfId="0" applyFont="1" applyFill="1" applyAlignment="1">
      <alignment horizontal="center" vertical="center"/>
    </xf>
    <xf numFmtId="0" fontId="11" fillId="4" borderId="0" xfId="0" applyFont="1" applyFill="1" applyAlignment="1">
      <alignment horizontal="left" vertical="top" wrapText="1"/>
    </xf>
    <xf numFmtId="0" fontId="9" fillId="24" borderId="0" xfId="0" applyFont="1" applyFill="1" applyAlignment="1">
      <alignment vertical="center" wrapText="1"/>
    </xf>
    <xf numFmtId="0" fontId="1" fillId="24" borderId="0" xfId="0" applyFont="1" applyFill="1" applyAlignment="1">
      <alignment horizontal="center" vertical="center"/>
    </xf>
    <xf numFmtId="0" fontId="1" fillId="2" borderId="0" xfId="0" applyFont="1" applyFill="1" applyAlignment="1">
      <alignment vertical="top"/>
    </xf>
    <xf numFmtId="0" fontId="8" fillId="4" borderId="0" xfId="0" applyFont="1" applyFill="1" applyAlignment="1">
      <alignment vertical="top"/>
    </xf>
    <xf numFmtId="0" fontId="11" fillId="4" borderId="0" xfId="0" applyFont="1" applyFill="1" applyAlignment="1">
      <alignment horizontal="center" vertical="top" wrapText="1"/>
    </xf>
    <xf numFmtId="0" fontId="4" fillId="4" borderId="0" xfId="0" applyFont="1" applyFill="1"/>
    <xf numFmtId="0" fontId="15" fillId="4" borderId="0" xfId="0" applyFont="1" applyFill="1"/>
    <xf numFmtId="0" fontId="4" fillId="8" borderId="0" xfId="0" applyFont="1" applyFill="1" applyAlignment="1">
      <alignment wrapText="1"/>
    </xf>
    <xf numFmtId="0" fontId="19" fillId="0" borderId="0" xfId="0" applyFont="1" applyAlignment="1">
      <alignment horizontal="left"/>
    </xf>
    <xf numFmtId="0" fontId="1" fillId="0" borderId="0" xfId="0" applyFont="1" applyAlignment="1">
      <alignment wrapText="1"/>
    </xf>
    <xf numFmtId="0" fontId="19" fillId="25" borderId="0" xfId="0" applyFont="1" applyFill="1" applyAlignment="1">
      <alignment horizontal="left"/>
    </xf>
    <xf numFmtId="0" fontId="1" fillId="25" borderId="0" xfId="0" applyFont="1" applyFill="1" applyAlignment="1">
      <alignment wrapText="1"/>
    </xf>
    <xf numFmtId="0" fontId="15" fillId="11" borderId="1" xfId="0" applyFont="1" applyFill="1" applyBorder="1" applyAlignment="1">
      <alignment vertical="top" wrapText="1" readingOrder="1"/>
    </xf>
    <xf numFmtId="0" fontId="15" fillId="12" borderId="1" xfId="0" applyFont="1" applyFill="1" applyBorder="1" applyAlignment="1">
      <alignment vertical="top" wrapText="1"/>
    </xf>
    <xf numFmtId="0" fontId="15" fillId="13" borderId="1" xfId="0" applyFont="1" applyFill="1" applyBorder="1" applyAlignment="1">
      <alignment vertical="top" wrapText="1"/>
    </xf>
    <xf numFmtId="0" fontId="12" fillId="2"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10" fillId="10" borderId="1" xfId="0" applyFont="1" applyFill="1" applyBorder="1" applyAlignment="1">
      <alignment horizontal="left" vertical="center" wrapText="1"/>
    </xf>
    <xf numFmtId="0" fontId="11" fillId="10" borderId="1" xfId="0" applyFont="1" applyFill="1" applyBorder="1" applyAlignment="1">
      <alignment horizontal="center" vertical="center" wrapText="1"/>
    </xf>
    <xf numFmtId="0" fontId="12"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0" fontId="13" fillId="3" borderId="1" xfId="0" applyFont="1" applyFill="1" applyBorder="1" applyAlignment="1">
      <alignment horizontal="center" vertical="center" textRotation="90" wrapText="1"/>
    </xf>
    <xf numFmtId="0" fontId="14" fillId="3" borderId="1" xfId="0" applyFont="1" applyFill="1" applyBorder="1" applyAlignment="1">
      <alignment horizontal="left" vertical="top" wrapText="1"/>
    </xf>
    <xf numFmtId="0" fontId="10" fillId="10" borderId="1" xfId="0" applyFont="1" applyFill="1" applyBorder="1" applyAlignment="1">
      <alignment vertical="center" wrapText="1"/>
    </xf>
    <xf numFmtId="0" fontId="22" fillId="4" borderId="1" xfId="0" applyFont="1" applyFill="1" applyBorder="1" applyAlignment="1">
      <alignment horizontal="center" vertical="center"/>
    </xf>
    <xf numFmtId="0" fontId="11" fillId="15" borderId="1" xfId="0" applyFont="1" applyFill="1" applyBorder="1" applyAlignment="1">
      <alignment horizontal="center" vertical="center" wrapText="1"/>
    </xf>
    <xf numFmtId="0" fontId="15" fillId="0" borderId="1" xfId="0" applyFont="1" applyBorder="1"/>
    <xf numFmtId="14" fontId="15" fillId="0" borderId="1" xfId="0" applyNumberFormat="1" applyFont="1" applyBorder="1" applyAlignment="1">
      <alignment horizontal="left"/>
    </xf>
    <xf numFmtId="0" fontId="12" fillId="3" borderId="1" xfId="0" applyFont="1" applyFill="1" applyBorder="1" applyAlignment="1">
      <alignment horizontal="left" vertical="top" wrapText="1"/>
    </xf>
    <xf numFmtId="0" fontId="1" fillId="3" borderId="0" xfId="0" applyFont="1" applyFill="1" applyAlignment="1">
      <alignment wrapText="1"/>
    </xf>
    <xf numFmtId="0" fontId="8" fillId="0" borderId="1" xfId="0" applyFont="1" applyBorder="1"/>
    <xf numFmtId="0" fontId="14" fillId="3" borderId="1" xfId="0" applyFont="1" applyFill="1" applyBorder="1" applyAlignment="1">
      <alignment horizontal="right" vertical="center" wrapText="1"/>
    </xf>
    <xf numFmtId="0" fontId="1" fillId="13" borderId="1" xfId="0" applyFont="1" applyFill="1" applyBorder="1" applyAlignment="1">
      <alignment vertical="top" wrapText="1"/>
    </xf>
    <xf numFmtId="0" fontId="15" fillId="12" borderId="4" xfId="0" applyFont="1" applyFill="1" applyBorder="1" applyAlignment="1">
      <alignment horizontal="left" vertical="top" wrapText="1"/>
    </xf>
    <xf numFmtId="0" fontId="15" fillId="12" borderId="5" xfId="0" applyFont="1" applyFill="1" applyBorder="1" applyAlignment="1">
      <alignment horizontal="left" vertical="top" wrapText="1"/>
    </xf>
    <xf numFmtId="0" fontId="12" fillId="10" borderId="4" xfId="0" applyFont="1" applyFill="1" applyBorder="1" applyAlignment="1">
      <alignment horizontal="center" vertical="center" wrapText="1"/>
    </xf>
    <xf numFmtId="0" fontId="12" fillId="10" borderId="5"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10" borderId="6" xfId="0" applyFont="1" applyFill="1" applyBorder="1" applyAlignment="1">
      <alignment horizontal="center" vertical="center" wrapText="1"/>
    </xf>
    <xf numFmtId="0" fontId="15" fillId="12" borderId="6" xfId="0" applyFont="1" applyFill="1" applyBorder="1" applyAlignment="1">
      <alignment horizontal="left" vertical="top" wrapText="1"/>
    </xf>
    <xf numFmtId="0" fontId="12" fillId="2" borderId="6" xfId="0" applyFont="1" applyFill="1" applyBorder="1" applyAlignment="1">
      <alignment horizontal="center" vertical="center" wrapText="1"/>
    </xf>
    <xf numFmtId="0" fontId="15" fillId="13" borderId="4" xfId="0" applyFont="1" applyFill="1" applyBorder="1" applyAlignment="1">
      <alignment horizontal="left" vertical="top" wrapText="1"/>
    </xf>
    <xf numFmtId="0" fontId="15" fillId="13" borderId="5" xfId="0" applyFont="1" applyFill="1" applyBorder="1" applyAlignment="1">
      <alignment horizontal="left" vertical="top" wrapText="1"/>
    </xf>
    <xf numFmtId="0" fontId="15" fillId="13" borderId="6" xfId="0" applyFont="1" applyFill="1" applyBorder="1" applyAlignment="1">
      <alignment horizontal="left" vertical="top" wrapText="1"/>
    </xf>
    <xf numFmtId="0" fontId="10" fillId="10" borderId="1" xfId="0" applyFont="1" applyFill="1" applyBorder="1" applyAlignment="1">
      <alignment horizontal="left"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3" fillId="7" borderId="0" xfId="0" applyFont="1" applyFill="1" applyAlignment="1">
      <alignment horizontal="center" wrapText="1"/>
    </xf>
    <xf numFmtId="0" fontId="21" fillId="3" borderId="0" xfId="0" applyFont="1" applyFill="1" applyAlignment="1">
      <alignment horizontal="center" vertical="center"/>
    </xf>
    <xf numFmtId="0" fontId="23" fillId="4" borderId="0" xfId="0" applyFont="1" applyFill="1" applyAlignment="1">
      <alignment horizontal="center"/>
    </xf>
    <xf numFmtId="0" fontId="11" fillId="14" borderId="2" xfId="0" applyFont="1" applyFill="1" applyBorder="1" applyAlignment="1">
      <alignment horizontal="center" vertical="center" wrapText="1"/>
    </xf>
    <xf numFmtId="0" fontId="11" fillId="14" borderId="3" xfId="0" applyFont="1" applyFill="1" applyBorder="1" applyAlignment="1">
      <alignment horizontal="center" vertical="center" wrapText="1"/>
    </xf>
    <xf numFmtId="0" fontId="6" fillId="0" borderId="0" xfId="0" applyFont="1" applyAlignment="1">
      <alignment horizontal="center" vertical="center"/>
    </xf>
    <xf numFmtId="0" fontId="0" fillId="0" borderId="0" xfId="0"/>
    <xf numFmtId="0" fontId="7" fillId="0" borderId="0" xfId="0" applyFont="1" applyAlignment="1">
      <alignment horizontal="center" vertical="center"/>
    </xf>
    <xf numFmtId="0" fontId="12" fillId="10" borderId="1" xfId="0" applyFont="1" applyFill="1" applyBorder="1" applyAlignment="1">
      <alignment horizontal="left" vertical="center" wrapText="1"/>
    </xf>
    <xf numFmtId="49" fontId="4" fillId="8" borderId="0" xfId="0" applyNumberFormat="1" applyFont="1" applyFill="1" applyAlignment="1">
      <alignment horizontal="center"/>
    </xf>
    <xf numFmtId="0" fontId="4" fillId="8" borderId="0" xfId="0" applyFont="1" applyFill="1" applyAlignment="1">
      <alignment vertical="top"/>
    </xf>
    <xf numFmtId="0" fontId="17" fillId="4" borderId="0" xfId="0" applyFont="1" applyFill="1"/>
    <xf numFmtId="0" fontId="24" fillId="13" borderId="4" xfId="0" applyFont="1" applyFill="1" applyBorder="1" applyAlignment="1">
      <alignment horizontal="left" vertical="top" wrapText="1"/>
    </xf>
    <xf numFmtId="0" fontId="24" fillId="13" borderId="5" xfId="0" applyFont="1" applyFill="1" applyBorder="1" applyAlignment="1">
      <alignment horizontal="left" vertical="top" wrapText="1"/>
    </xf>
    <xf numFmtId="0" fontId="25" fillId="10" borderId="4" xfId="0" applyFont="1" applyFill="1" applyBorder="1" applyAlignment="1">
      <alignment horizontal="center" vertical="center" wrapText="1"/>
    </xf>
    <xf numFmtId="0" fontId="25" fillId="10" borderId="5" xfId="0" applyFont="1" applyFill="1" applyBorder="1" applyAlignment="1">
      <alignment horizontal="center" vertical="center" wrapText="1"/>
    </xf>
    <xf numFmtId="0" fontId="25" fillId="2" borderId="4" xfId="0" applyFont="1" applyFill="1" applyBorder="1" applyAlignment="1">
      <alignment horizontal="center" vertical="center" wrapText="1"/>
    </xf>
    <xf numFmtId="0" fontId="25" fillId="2" borderId="5" xfId="0" applyFont="1" applyFill="1" applyBorder="1" applyAlignment="1">
      <alignment horizontal="center" vertical="center" wrapText="1"/>
    </xf>
    <xf numFmtId="0" fontId="18" fillId="17" borderId="0" xfId="0" applyFont="1" applyFill="1" applyAlignment="1">
      <alignment horizontal="left" vertical="center" wrapText="1"/>
    </xf>
    <xf numFmtId="0" fontId="18" fillId="20" borderId="0" xfId="0" applyFont="1" applyFill="1" applyAlignment="1">
      <alignment horizontal="left" vertical="center" wrapText="1"/>
    </xf>
    <xf numFmtId="0" fontId="18" fillId="22" borderId="0" xfId="0" applyFont="1" applyFill="1" applyAlignment="1">
      <alignment horizontal="left" vertical="center" wrapText="1"/>
    </xf>
    <xf numFmtId="0" fontId="15" fillId="25" borderId="0" xfId="0" applyFont="1" applyFill="1" applyAlignment="1">
      <alignment wrapText="1"/>
    </xf>
    <xf numFmtId="0" fontId="15" fillId="25" borderId="0" xfId="0" applyFont="1" applyFill="1" applyAlignment="1">
      <alignment horizontal="left" wrapText="1"/>
    </xf>
    <xf numFmtId="0" fontId="15" fillId="0" borderId="0" xfId="0" applyFont="1" applyAlignment="1">
      <alignment wrapText="1"/>
    </xf>
    <xf numFmtId="0" fontId="15" fillId="0" borderId="0" xfId="0" applyFont="1" applyAlignment="1">
      <alignment horizontal="left" wrapText="1"/>
    </xf>
    <xf numFmtId="0" fontId="4" fillId="8" borderId="0" xfId="0" applyFont="1" applyFill="1" applyAlignment="1">
      <alignment wrapText="1"/>
    </xf>
  </cellXfs>
  <cellStyles count="1">
    <cellStyle name="Normal" xfId="0" builtinId="0"/>
  </cellStyles>
  <dxfs count="4">
    <dxf>
      <font>
        <color rgb="FFFFFFFF"/>
      </font>
      <fill>
        <patternFill patternType="solid">
          <fgColor rgb="FF000000"/>
          <bgColor rgb="FF000000"/>
        </patternFill>
      </fill>
    </dxf>
    <dxf>
      <fill>
        <patternFill patternType="solid">
          <fgColor rgb="FF63D297"/>
          <bgColor rgb="FF63D297"/>
        </patternFill>
      </fill>
    </dxf>
    <dxf>
      <font>
        <color rgb="FFFFFFFF"/>
      </font>
      <fill>
        <patternFill patternType="solid">
          <fgColor rgb="FFFF0000"/>
          <bgColor rgb="FFFF0000"/>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A3874-C865-4479-AE53-68D935ABA4F7}">
  <sheetPr>
    <pageSetUpPr fitToPage="1"/>
  </sheetPr>
  <dimension ref="A1:U75"/>
  <sheetViews>
    <sheetView tabSelected="1" topLeftCell="A19" zoomScale="73" zoomScaleNormal="73" zoomScaleSheetLayoutView="85" workbookViewId="0">
      <selection activeCell="G24" sqref="G24"/>
    </sheetView>
  </sheetViews>
  <sheetFormatPr defaultColWidth="9.21875" defaultRowHeight="14.4" x14ac:dyDescent="0.3"/>
  <cols>
    <col min="1" max="2" width="9.21875" style="3"/>
    <col min="3" max="3" width="17.44140625" style="3" customWidth="1"/>
    <col min="4" max="4" width="40.77734375" style="3" customWidth="1"/>
    <col min="5" max="5" width="30.77734375" style="3" customWidth="1"/>
    <col min="6" max="6" width="30.44140625" style="3" customWidth="1"/>
    <col min="7" max="7" width="31.44140625" style="3" customWidth="1"/>
    <col min="8" max="10" width="30.77734375" style="3" customWidth="1"/>
    <col min="11" max="11" width="20.77734375" style="3" customWidth="1"/>
    <col min="12" max="12" width="4.21875" style="3" customWidth="1"/>
    <col min="13" max="13" width="16.21875" style="3" customWidth="1"/>
    <col min="14" max="14" width="15.77734375" style="3" customWidth="1"/>
    <col min="15" max="16384" width="9.21875" style="3"/>
  </cols>
  <sheetData>
    <row r="1" spans="1:16" x14ac:dyDescent="0.3">
      <c r="A1" s="1"/>
      <c r="B1" s="1"/>
      <c r="C1" s="1"/>
      <c r="D1" s="1"/>
      <c r="E1" s="1"/>
      <c r="F1" s="1"/>
      <c r="G1" s="1"/>
      <c r="H1" s="1"/>
      <c r="I1" s="1"/>
      <c r="J1" s="1"/>
      <c r="K1" s="1"/>
      <c r="L1" s="1"/>
      <c r="M1" s="1"/>
      <c r="N1" s="1"/>
      <c r="O1" s="1"/>
      <c r="P1" s="2"/>
    </row>
    <row r="2" spans="1:16" x14ac:dyDescent="0.3">
      <c r="A2" s="1"/>
      <c r="B2" s="1"/>
      <c r="C2" s="1"/>
      <c r="D2" s="1"/>
      <c r="E2" s="1"/>
      <c r="F2" s="1"/>
      <c r="G2" s="1"/>
      <c r="H2" s="1"/>
      <c r="I2" s="1"/>
      <c r="J2" s="1"/>
      <c r="K2" s="1"/>
      <c r="L2" s="1"/>
      <c r="M2" s="1"/>
      <c r="N2" s="1"/>
      <c r="O2" s="1"/>
      <c r="P2" s="2"/>
    </row>
    <row r="3" spans="1:16" x14ac:dyDescent="0.3">
      <c r="A3" s="5"/>
      <c r="B3" s="6"/>
      <c r="C3" s="6"/>
      <c r="D3" s="7"/>
      <c r="E3" s="8" t="s">
        <v>0</v>
      </c>
      <c r="F3" s="91" t="s">
        <v>1</v>
      </c>
      <c r="G3" s="91"/>
      <c r="H3" s="91"/>
      <c r="I3" s="91"/>
      <c r="J3" s="91"/>
      <c r="K3" s="10" t="s">
        <v>2</v>
      </c>
      <c r="L3" s="10"/>
      <c r="M3" s="10"/>
      <c r="N3" s="4"/>
      <c r="O3" s="5"/>
      <c r="P3" s="11"/>
    </row>
    <row r="4" spans="1:16" ht="18.75" customHeight="1" x14ac:dyDescent="0.3">
      <c r="A4" s="1"/>
      <c r="B4" s="12"/>
      <c r="C4" s="12"/>
      <c r="D4" s="13" t="s">
        <v>3</v>
      </c>
      <c r="E4" s="73">
        <v>244437</v>
      </c>
      <c r="F4" s="92" t="s">
        <v>4</v>
      </c>
      <c r="G4" s="92"/>
      <c r="H4" s="92"/>
      <c r="I4" s="92"/>
      <c r="J4" s="92"/>
      <c r="K4" s="96">
        <f>K41/10</f>
        <v>9.5</v>
      </c>
      <c r="L4" s="98" t="str">
        <f>IF(K4&gt;=5.5,"PASS",IF(K4&gt;0,"FAIL","M/O"))</f>
        <v>PASS</v>
      </c>
      <c r="M4" s="98"/>
      <c r="N4" s="4"/>
      <c r="O4" s="1"/>
      <c r="P4" s="2"/>
    </row>
    <row r="5" spans="1:16" ht="18.75" customHeight="1" x14ac:dyDescent="0.3">
      <c r="A5" s="1"/>
      <c r="B5" s="12"/>
      <c r="C5" s="12"/>
      <c r="D5" s="13" t="s">
        <v>5</v>
      </c>
      <c r="E5" s="73" t="s">
        <v>140</v>
      </c>
      <c r="F5" s="92"/>
      <c r="G5" s="92"/>
      <c r="H5" s="92"/>
      <c r="I5" s="92"/>
      <c r="J5" s="92"/>
      <c r="K5" s="97"/>
      <c r="L5" s="98"/>
      <c r="M5" s="98"/>
      <c r="N5" s="4"/>
      <c r="O5" s="1"/>
      <c r="P5" s="2"/>
    </row>
    <row r="6" spans="1:16" ht="18.75" customHeight="1" x14ac:dyDescent="0.3">
      <c r="A6" s="1"/>
      <c r="B6" s="12"/>
      <c r="C6" s="12"/>
      <c r="D6" s="13" t="s">
        <v>6</v>
      </c>
      <c r="E6" s="69" t="s">
        <v>7</v>
      </c>
      <c r="F6" s="92"/>
      <c r="G6" s="92"/>
      <c r="H6" s="92"/>
      <c r="I6" s="92"/>
      <c r="J6" s="92"/>
      <c r="K6" s="97"/>
      <c r="L6" s="98"/>
      <c r="M6" s="98"/>
      <c r="N6" s="4"/>
      <c r="O6" s="1"/>
      <c r="P6" s="2"/>
    </row>
    <row r="7" spans="1:16" ht="18.75" customHeight="1" x14ac:dyDescent="0.3">
      <c r="A7" s="1"/>
      <c r="B7" s="12"/>
      <c r="C7" s="12"/>
      <c r="D7" s="13" t="s">
        <v>8</v>
      </c>
      <c r="E7" s="69" t="s">
        <v>138</v>
      </c>
      <c r="F7" s="92"/>
      <c r="G7" s="92"/>
      <c r="H7" s="92"/>
      <c r="I7" s="92"/>
      <c r="J7" s="92"/>
      <c r="K7" s="97"/>
      <c r="L7" s="98"/>
      <c r="M7" s="98"/>
      <c r="N7" s="4"/>
      <c r="O7" s="1"/>
      <c r="P7" s="2"/>
    </row>
    <row r="8" spans="1:16" ht="18.75" customHeight="1" x14ac:dyDescent="0.3">
      <c r="A8" s="1"/>
      <c r="B8" s="12"/>
      <c r="C8" s="12"/>
      <c r="D8" s="13" t="s">
        <v>9</v>
      </c>
      <c r="E8" s="70">
        <v>45758</v>
      </c>
      <c r="F8" s="92"/>
      <c r="G8" s="92"/>
      <c r="H8" s="92"/>
      <c r="I8" s="92"/>
      <c r="J8" s="92"/>
      <c r="K8" s="97"/>
      <c r="L8" s="98"/>
      <c r="M8" s="98"/>
      <c r="N8" s="4"/>
      <c r="O8" s="1"/>
      <c r="P8" s="2"/>
    </row>
    <row r="9" spans="1:16" x14ac:dyDescent="0.3">
      <c r="A9" s="1"/>
      <c r="B9" s="4"/>
      <c r="C9" s="4"/>
      <c r="D9" s="4"/>
      <c r="E9" s="4"/>
      <c r="F9" s="4"/>
      <c r="G9" s="4"/>
      <c r="H9" s="4"/>
      <c r="I9" s="4"/>
      <c r="J9" s="4"/>
      <c r="K9" s="4"/>
      <c r="L9" s="4"/>
      <c r="M9" s="4"/>
      <c r="N9" s="4"/>
      <c r="O9" s="1"/>
      <c r="P9" s="2"/>
    </row>
    <row r="10" spans="1:16" x14ac:dyDescent="0.3">
      <c r="A10" s="1"/>
      <c r="B10" s="1"/>
      <c r="C10" s="1"/>
      <c r="D10" s="1"/>
      <c r="E10" s="1"/>
      <c r="F10" s="1"/>
      <c r="G10" s="1"/>
      <c r="H10" s="1"/>
      <c r="I10" s="1"/>
      <c r="J10" s="1"/>
      <c r="K10" s="1"/>
      <c r="L10" s="1"/>
      <c r="M10" s="1"/>
      <c r="N10" s="1"/>
      <c r="O10" s="1"/>
      <c r="P10" s="2"/>
    </row>
    <row r="11" spans="1:16" ht="23.55" customHeight="1" x14ac:dyDescent="0.45">
      <c r="A11" s="1"/>
      <c r="B11" s="4"/>
      <c r="C11" s="4"/>
      <c r="D11" s="93" t="s">
        <v>10</v>
      </c>
      <c r="E11" s="93"/>
      <c r="F11" s="93"/>
      <c r="G11" s="93"/>
      <c r="H11" s="93"/>
      <c r="I11" s="93"/>
      <c r="J11" s="93"/>
      <c r="K11" s="93"/>
      <c r="L11" s="93"/>
      <c r="M11" s="93"/>
      <c r="N11" s="4"/>
      <c r="O11" s="1"/>
      <c r="P11" s="2"/>
    </row>
    <row r="12" spans="1:16" ht="14.85" customHeight="1" x14ac:dyDescent="0.3">
      <c r="A12" s="1"/>
      <c r="B12" s="4"/>
      <c r="C12" s="14"/>
      <c r="D12" s="14"/>
      <c r="E12" s="15" t="s">
        <v>11</v>
      </c>
      <c r="F12" s="100" t="s">
        <v>12</v>
      </c>
      <c r="G12" s="100"/>
      <c r="H12" s="100"/>
      <c r="I12" s="100"/>
      <c r="J12" s="100"/>
      <c r="K12" s="15" t="s">
        <v>13</v>
      </c>
      <c r="L12" s="15"/>
      <c r="M12" s="16" t="s">
        <v>14</v>
      </c>
      <c r="N12" s="17"/>
      <c r="O12" s="1"/>
    </row>
    <row r="13" spans="1:16" ht="60" customHeight="1" x14ac:dyDescent="0.3">
      <c r="A13" s="1"/>
      <c r="B13" s="18"/>
      <c r="C13" s="59" t="s">
        <v>15</v>
      </c>
      <c r="D13" s="99" t="s">
        <v>16</v>
      </c>
      <c r="E13" s="99"/>
      <c r="F13" s="99"/>
      <c r="G13" s="99"/>
      <c r="H13" s="99"/>
      <c r="I13" s="99"/>
      <c r="J13" s="99"/>
      <c r="K13" s="99"/>
      <c r="L13" s="62"/>
      <c r="M13" s="61"/>
      <c r="N13" s="19"/>
      <c r="O13" s="1"/>
    </row>
    <row r="14" spans="1:16" ht="24" customHeight="1" x14ac:dyDescent="0.3">
      <c r="A14" s="1"/>
      <c r="B14" s="18"/>
      <c r="C14" s="59"/>
      <c r="D14" s="62"/>
      <c r="E14" s="63" t="s">
        <v>17</v>
      </c>
      <c r="F14" s="63" t="s">
        <v>89</v>
      </c>
      <c r="G14" s="78" t="s">
        <v>18</v>
      </c>
      <c r="H14" s="79"/>
      <c r="I14" s="78" t="s">
        <v>90</v>
      </c>
      <c r="J14" s="79"/>
      <c r="K14" s="62"/>
      <c r="L14" s="62"/>
      <c r="M14" s="62"/>
      <c r="N14" s="19"/>
      <c r="O14" s="1"/>
    </row>
    <row r="15" spans="1:16" ht="104.55" customHeight="1" x14ac:dyDescent="0.3">
      <c r="A15" s="1"/>
      <c r="B15" s="18"/>
      <c r="C15" s="64" t="s">
        <v>112</v>
      </c>
      <c r="D15" s="71" t="s">
        <v>88</v>
      </c>
      <c r="E15" s="55" t="s">
        <v>114</v>
      </c>
      <c r="F15" s="56" t="s">
        <v>115</v>
      </c>
      <c r="G15" s="85" t="s">
        <v>116</v>
      </c>
      <c r="H15" s="86"/>
      <c r="I15" s="76" t="s">
        <v>91</v>
      </c>
      <c r="J15" s="77"/>
      <c r="K15" s="89">
        <f>IF(E16="yes", SUM(F16:J16), 0)</f>
        <v>8</v>
      </c>
      <c r="L15" s="94" t="s">
        <v>19</v>
      </c>
      <c r="M15" s="94">
        <v>10</v>
      </c>
      <c r="N15" s="19"/>
      <c r="O15" s="1"/>
    </row>
    <row r="16" spans="1:16" ht="24.75" customHeight="1" x14ac:dyDescent="0.3">
      <c r="A16" s="1"/>
      <c r="B16" s="18"/>
      <c r="C16" s="64"/>
      <c r="D16" s="74" t="s">
        <v>20</v>
      </c>
      <c r="E16" s="58" t="s">
        <v>141</v>
      </c>
      <c r="F16" s="58">
        <v>3</v>
      </c>
      <c r="G16" s="80">
        <v>2</v>
      </c>
      <c r="H16" s="81"/>
      <c r="I16" s="80">
        <v>3</v>
      </c>
      <c r="J16" s="81"/>
      <c r="K16" s="90"/>
      <c r="L16" s="95"/>
      <c r="M16" s="95"/>
      <c r="N16" s="19"/>
      <c r="O16" s="1"/>
    </row>
    <row r="17" spans="1:21" ht="60" customHeight="1" x14ac:dyDescent="0.3">
      <c r="A17" s="1"/>
      <c r="B17" s="18"/>
      <c r="C17" s="59" t="s">
        <v>21</v>
      </c>
      <c r="D17" s="99" t="s">
        <v>22</v>
      </c>
      <c r="E17" s="99"/>
      <c r="F17" s="99"/>
      <c r="G17" s="99"/>
      <c r="H17" s="99"/>
      <c r="I17" s="99"/>
      <c r="J17" s="99"/>
      <c r="K17" s="99"/>
      <c r="L17" s="62"/>
      <c r="M17" s="61"/>
      <c r="N17" s="19"/>
      <c r="O17" s="1"/>
    </row>
    <row r="18" spans="1:21" ht="24" customHeight="1" x14ac:dyDescent="0.3">
      <c r="A18" s="1"/>
      <c r="B18" s="18"/>
      <c r="C18" s="59"/>
      <c r="D18" s="62"/>
      <c r="E18" s="63" t="s">
        <v>17</v>
      </c>
      <c r="F18" s="78" t="s">
        <v>118</v>
      </c>
      <c r="G18" s="82"/>
      <c r="H18" s="79"/>
      <c r="I18" s="78" t="s">
        <v>109</v>
      </c>
      <c r="J18" s="79"/>
      <c r="K18" s="62"/>
      <c r="L18" s="62"/>
      <c r="M18" s="62"/>
      <c r="N18" s="19"/>
      <c r="O18" s="1"/>
    </row>
    <row r="19" spans="1:21" ht="137.55000000000001" customHeight="1" x14ac:dyDescent="0.3">
      <c r="A19" s="1"/>
      <c r="B19" s="18"/>
      <c r="C19" s="64" t="s">
        <v>112</v>
      </c>
      <c r="D19" s="71" t="s">
        <v>108</v>
      </c>
      <c r="E19" s="55" t="s">
        <v>117</v>
      </c>
      <c r="F19" s="76" t="s">
        <v>113</v>
      </c>
      <c r="G19" s="83"/>
      <c r="H19" s="77"/>
      <c r="I19" s="85" t="s">
        <v>133</v>
      </c>
      <c r="J19" s="86"/>
      <c r="K19" s="89">
        <f>IF(E20="yes", SUM(F20:J20), 0)</f>
        <v>10</v>
      </c>
      <c r="L19" s="94" t="s">
        <v>19</v>
      </c>
      <c r="M19" s="94">
        <v>10</v>
      </c>
      <c r="N19" s="19"/>
      <c r="O19" s="1"/>
      <c r="Q19" s="72"/>
      <c r="R19" s="72"/>
      <c r="S19" s="72"/>
      <c r="T19" s="72"/>
      <c r="U19" s="72"/>
    </row>
    <row r="20" spans="1:21" ht="24.75" customHeight="1" x14ac:dyDescent="0.3">
      <c r="A20" s="1"/>
      <c r="B20" s="18"/>
      <c r="C20" s="64"/>
      <c r="D20" s="74" t="s">
        <v>20</v>
      </c>
      <c r="E20" s="58" t="s">
        <v>141</v>
      </c>
      <c r="F20" s="80">
        <v>5</v>
      </c>
      <c r="G20" s="84"/>
      <c r="H20" s="81"/>
      <c r="I20" s="80">
        <v>5</v>
      </c>
      <c r="J20" s="81"/>
      <c r="K20" s="90"/>
      <c r="L20" s="95"/>
      <c r="M20" s="95"/>
      <c r="N20" s="19"/>
      <c r="O20" s="1"/>
    </row>
    <row r="21" spans="1:21" ht="60" customHeight="1" x14ac:dyDescent="0.3">
      <c r="A21" s="1"/>
      <c r="B21" s="18"/>
      <c r="C21" s="59" t="s">
        <v>23</v>
      </c>
      <c r="D21" s="99" t="s">
        <v>24</v>
      </c>
      <c r="E21" s="99"/>
      <c r="F21" s="99"/>
      <c r="G21" s="99"/>
      <c r="H21" s="99"/>
      <c r="I21" s="99"/>
      <c r="J21" s="99"/>
      <c r="K21" s="99"/>
      <c r="L21" s="62"/>
      <c r="M21" s="61"/>
      <c r="N21" s="19"/>
      <c r="O21" s="1"/>
    </row>
    <row r="22" spans="1:21" ht="18.75" customHeight="1" x14ac:dyDescent="0.3">
      <c r="A22" s="1"/>
      <c r="B22" s="18"/>
      <c r="C22" s="59"/>
      <c r="D22" s="62"/>
      <c r="E22" s="63" t="s">
        <v>17</v>
      </c>
      <c r="F22" s="63" t="s">
        <v>25</v>
      </c>
      <c r="G22" s="63" t="s">
        <v>123</v>
      </c>
      <c r="H22" s="63" t="s">
        <v>104</v>
      </c>
      <c r="I22" s="78" t="s">
        <v>122</v>
      </c>
      <c r="J22" s="79"/>
      <c r="K22" s="62"/>
      <c r="L22" s="62"/>
      <c r="M22" s="62"/>
      <c r="N22" s="19"/>
      <c r="O22" s="1"/>
    </row>
    <row r="23" spans="1:21" ht="199.05" customHeight="1" x14ac:dyDescent="0.3">
      <c r="A23" s="1"/>
      <c r="B23" s="18"/>
      <c r="C23" s="64" t="s">
        <v>111</v>
      </c>
      <c r="D23" s="65" t="s">
        <v>119</v>
      </c>
      <c r="E23" s="55" t="s">
        <v>114</v>
      </c>
      <c r="F23" s="56" t="s">
        <v>134</v>
      </c>
      <c r="G23" s="57" t="s">
        <v>120</v>
      </c>
      <c r="H23" s="56" t="s">
        <v>139</v>
      </c>
      <c r="I23" s="85" t="s">
        <v>121</v>
      </c>
      <c r="J23" s="86"/>
      <c r="K23" s="89">
        <f>IF(E24="yes", SUM(F24:J24), 0)</f>
        <v>13</v>
      </c>
      <c r="L23" s="94" t="s">
        <v>19</v>
      </c>
      <c r="M23" s="94">
        <v>15</v>
      </c>
      <c r="N23" s="19"/>
      <c r="O23" s="1"/>
    </row>
    <row r="24" spans="1:21" ht="24.75" customHeight="1" x14ac:dyDescent="0.3">
      <c r="A24" s="1"/>
      <c r="B24" s="18"/>
      <c r="C24" s="64"/>
      <c r="D24" s="74" t="s">
        <v>20</v>
      </c>
      <c r="E24" s="58" t="s">
        <v>141</v>
      </c>
      <c r="F24" s="58">
        <v>2</v>
      </c>
      <c r="G24" s="58">
        <v>3</v>
      </c>
      <c r="H24" s="58">
        <v>3</v>
      </c>
      <c r="I24" s="80">
        <v>5</v>
      </c>
      <c r="J24" s="81"/>
      <c r="K24" s="90"/>
      <c r="L24" s="95"/>
      <c r="M24" s="95"/>
      <c r="N24" s="19"/>
      <c r="O24" s="1"/>
    </row>
    <row r="25" spans="1:21" ht="60" customHeight="1" x14ac:dyDescent="0.3">
      <c r="A25" s="1"/>
      <c r="B25" s="18"/>
      <c r="C25" s="59" t="s">
        <v>26</v>
      </c>
      <c r="D25" s="88" t="s">
        <v>27</v>
      </c>
      <c r="E25" s="88"/>
      <c r="F25" s="88"/>
      <c r="G25" s="88"/>
      <c r="H25" s="88"/>
      <c r="I25" s="88"/>
      <c r="J25" s="88"/>
      <c r="K25" s="66"/>
      <c r="L25" s="66"/>
      <c r="M25" s="61"/>
      <c r="N25" s="19"/>
      <c r="O25" s="1"/>
    </row>
    <row r="26" spans="1:21" ht="18.75" customHeight="1" x14ac:dyDescent="0.3">
      <c r="A26" s="1"/>
      <c r="B26" s="18"/>
      <c r="C26" s="59"/>
      <c r="D26" s="62"/>
      <c r="E26" s="63" t="s">
        <v>17</v>
      </c>
      <c r="F26" s="78" t="s">
        <v>92</v>
      </c>
      <c r="G26" s="79"/>
      <c r="H26" s="63" t="s">
        <v>123</v>
      </c>
      <c r="I26" s="78" t="s">
        <v>107</v>
      </c>
      <c r="J26" s="79"/>
      <c r="K26" s="62"/>
      <c r="L26" s="62"/>
      <c r="M26" s="62"/>
      <c r="N26" s="19"/>
      <c r="O26" s="1"/>
    </row>
    <row r="27" spans="1:21" ht="118.05" customHeight="1" x14ac:dyDescent="0.3">
      <c r="A27" s="1"/>
      <c r="B27" s="18"/>
      <c r="C27" s="64" t="s">
        <v>111</v>
      </c>
      <c r="D27" s="65" t="s">
        <v>110</v>
      </c>
      <c r="E27" s="55" t="s">
        <v>114</v>
      </c>
      <c r="F27" s="76" t="s">
        <v>125</v>
      </c>
      <c r="G27" s="77"/>
      <c r="H27" s="57" t="s">
        <v>135</v>
      </c>
      <c r="I27" s="76" t="s">
        <v>124</v>
      </c>
      <c r="J27" s="77"/>
      <c r="K27" s="89">
        <f>IF(E28="yes", SUM(F28:J28), 0)</f>
        <v>9</v>
      </c>
      <c r="L27" s="94" t="s">
        <v>19</v>
      </c>
      <c r="M27" s="94">
        <v>10</v>
      </c>
      <c r="N27" s="19"/>
      <c r="O27" s="1"/>
    </row>
    <row r="28" spans="1:21" ht="24.75" customHeight="1" x14ac:dyDescent="0.3">
      <c r="A28" s="1"/>
      <c r="B28" s="18"/>
      <c r="C28" s="64"/>
      <c r="D28" s="74" t="s">
        <v>20</v>
      </c>
      <c r="E28" s="58" t="s">
        <v>141</v>
      </c>
      <c r="F28" s="80">
        <v>3</v>
      </c>
      <c r="G28" s="81"/>
      <c r="H28" s="58">
        <v>3</v>
      </c>
      <c r="I28" s="80">
        <v>3</v>
      </c>
      <c r="J28" s="81"/>
      <c r="K28" s="90"/>
      <c r="L28" s="95"/>
      <c r="M28" s="95"/>
      <c r="N28" s="19"/>
      <c r="O28" s="1"/>
    </row>
    <row r="29" spans="1:21" ht="60" customHeight="1" x14ac:dyDescent="0.3">
      <c r="A29" s="1"/>
      <c r="B29" s="18"/>
      <c r="C29" s="59" t="s">
        <v>28</v>
      </c>
      <c r="D29" s="88" t="s">
        <v>29</v>
      </c>
      <c r="E29" s="88"/>
      <c r="F29" s="88"/>
      <c r="G29" s="88"/>
      <c r="H29" s="88"/>
      <c r="I29" s="88"/>
      <c r="J29" s="88"/>
      <c r="K29" s="88"/>
      <c r="L29" s="60"/>
      <c r="M29" s="61"/>
      <c r="N29" s="19"/>
      <c r="O29" s="1"/>
    </row>
    <row r="30" spans="1:21" ht="18.75" customHeight="1" x14ac:dyDescent="0.3">
      <c r="A30" s="1"/>
      <c r="B30" s="18"/>
      <c r="C30" s="59"/>
      <c r="D30" s="62"/>
      <c r="E30" s="63" t="s">
        <v>17</v>
      </c>
      <c r="F30" s="78" t="s">
        <v>92</v>
      </c>
      <c r="G30" s="79"/>
      <c r="H30" s="78" t="s">
        <v>93</v>
      </c>
      <c r="I30" s="82"/>
      <c r="J30" s="79"/>
      <c r="K30" s="62"/>
      <c r="L30" s="62"/>
      <c r="M30" s="62"/>
      <c r="N30" s="19"/>
      <c r="O30" s="1"/>
    </row>
    <row r="31" spans="1:21" ht="164.1" customHeight="1" x14ac:dyDescent="0.3">
      <c r="A31" s="1"/>
      <c r="B31" s="18"/>
      <c r="C31" s="64" t="s">
        <v>111</v>
      </c>
      <c r="D31" s="65" t="s">
        <v>95</v>
      </c>
      <c r="E31" s="55" t="s">
        <v>126</v>
      </c>
      <c r="F31" s="76" t="s">
        <v>96</v>
      </c>
      <c r="G31" s="77"/>
      <c r="H31" s="85" t="s">
        <v>94</v>
      </c>
      <c r="I31" s="87"/>
      <c r="J31" s="86"/>
      <c r="K31" s="89">
        <f>IF(E32="yes", SUM(F32:J32), 0)</f>
        <v>10</v>
      </c>
      <c r="L31" s="94" t="s">
        <v>19</v>
      </c>
      <c r="M31" s="94">
        <v>10</v>
      </c>
      <c r="N31" s="19"/>
      <c r="O31" s="1"/>
    </row>
    <row r="32" spans="1:21" ht="24.75" customHeight="1" x14ac:dyDescent="0.3">
      <c r="A32" s="1"/>
      <c r="B32" s="18"/>
      <c r="C32" s="64"/>
      <c r="D32" s="74" t="s">
        <v>20</v>
      </c>
      <c r="E32" s="58" t="s">
        <v>141</v>
      </c>
      <c r="F32" s="80">
        <v>4</v>
      </c>
      <c r="G32" s="81"/>
      <c r="H32" s="80">
        <v>6</v>
      </c>
      <c r="I32" s="84"/>
      <c r="J32" s="81"/>
      <c r="K32" s="90"/>
      <c r="L32" s="95"/>
      <c r="M32" s="95"/>
      <c r="N32" s="19"/>
      <c r="O32" s="1"/>
    </row>
    <row r="33" spans="1:17" ht="60" customHeight="1" x14ac:dyDescent="0.3">
      <c r="A33" s="1"/>
      <c r="B33" s="18"/>
      <c r="C33" s="59" t="s">
        <v>30</v>
      </c>
      <c r="D33" s="88" t="s">
        <v>31</v>
      </c>
      <c r="E33" s="88"/>
      <c r="F33" s="88"/>
      <c r="G33" s="88"/>
      <c r="H33" s="88"/>
      <c r="I33" s="88"/>
      <c r="J33" s="88"/>
      <c r="K33" s="66"/>
      <c r="L33" s="66"/>
      <c r="M33" s="61"/>
      <c r="N33" s="19"/>
      <c r="O33" s="1"/>
    </row>
    <row r="34" spans="1:17" ht="18.75" customHeight="1" x14ac:dyDescent="0.3">
      <c r="A34" s="1"/>
      <c r="B34" s="18"/>
      <c r="C34" s="59"/>
      <c r="D34" s="62"/>
      <c r="E34" s="63" t="s">
        <v>17</v>
      </c>
      <c r="F34" s="63" t="s">
        <v>92</v>
      </c>
      <c r="G34" s="63" t="s">
        <v>105</v>
      </c>
      <c r="H34" s="63" t="s">
        <v>136</v>
      </c>
      <c r="I34" s="63" t="s">
        <v>137</v>
      </c>
      <c r="J34" s="63" t="s">
        <v>102</v>
      </c>
      <c r="K34" s="62"/>
      <c r="L34" s="62"/>
      <c r="M34" s="62"/>
      <c r="N34" s="19"/>
      <c r="O34" s="1"/>
    </row>
    <row r="35" spans="1:17" ht="120" customHeight="1" x14ac:dyDescent="0.3">
      <c r="A35" s="1"/>
      <c r="B35" s="18"/>
      <c r="C35" s="64" t="s">
        <v>111</v>
      </c>
      <c r="D35" s="71" t="s">
        <v>97</v>
      </c>
      <c r="E35" s="55" t="s">
        <v>127</v>
      </c>
      <c r="F35" s="56" t="s">
        <v>98</v>
      </c>
      <c r="G35" s="57" t="s">
        <v>103</v>
      </c>
      <c r="H35" s="56" t="s">
        <v>99</v>
      </c>
      <c r="I35" s="75" t="s">
        <v>101</v>
      </c>
      <c r="J35" s="56" t="s">
        <v>100</v>
      </c>
      <c r="K35" s="89">
        <f>IF(E36="yes", SUM(F36:J36), 0)</f>
        <v>30</v>
      </c>
      <c r="L35" s="94" t="s">
        <v>19</v>
      </c>
      <c r="M35" s="94">
        <v>30</v>
      </c>
      <c r="N35" s="19"/>
      <c r="O35" s="1"/>
    </row>
    <row r="36" spans="1:17" ht="24.75" customHeight="1" x14ac:dyDescent="0.3">
      <c r="A36" s="1"/>
      <c r="B36" s="18"/>
      <c r="C36" s="64"/>
      <c r="D36" s="74" t="s">
        <v>20</v>
      </c>
      <c r="E36" s="58" t="s">
        <v>141</v>
      </c>
      <c r="F36" s="58">
        <v>4</v>
      </c>
      <c r="G36" s="58">
        <v>4</v>
      </c>
      <c r="H36" s="58">
        <v>8</v>
      </c>
      <c r="I36" s="58">
        <v>8</v>
      </c>
      <c r="J36" s="58">
        <v>6</v>
      </c>
      <c r="K36" s="90"/>
      <c r="L36" s="95"/>
      <c r="M36" s="95"/>
      <c r="N36" s="19"/>
      <c r="O36" s="1"/>
    </row>
    <row r="37" spans="1:17" ht="60" customHeight="1" x14ac:dyDescent="0.3">
      <c r="A37" s="1"/>
      <c r="B37" s="18"/>
      <c r="C37" s="59" t="s">
        <v>32</v>
      </c>
      <c r="D37" s="88" t="s">
        <v>33</v>
      </c>
      <c r="E37" s="88"/>
      <c r="F37" s="88"/>
      <c r="G37" s="88"/>
      <c r="H37" s="88"/>
      <c r="I37" s="88"/>
      <c r="J37" s="88"/>
      <c r="K37" s="66"/>
      <c r="L37" s="66"/>
      <c r="M37" s="61"/>
      <c r="N37" s="19"/>
      <c r="O37" s="1"/>
    </row>
    <row r="38" spans="1:17" ht="18.75" customHeight="1" x14ac:dyDescent="0.3">
      <c r="A38" s="1"/>
      <c r="B38" s="18"/>
      <c r="C38" s="59"/>
      <c r="D38" s="62"/>
      <c r="E38" s="63" t="s">
        <v>17</v>
      </c>
      <c r="F38" s="63" t="s">
        <v>92</v>
      </c>
      <c r="G38" s="63" t="s">
        <v>105</v>
      </c>
      <c r="H38" s="63" t="s">
        <v>104</v>
      </c>
      <c r="I38" s="105" t="s">
        <v>106</v>
      </c>
      <c r="J38" s="106"/>
      <c r="K38" s="62"/>
      <c r="L38" s="62"/>
      <c r="M38" s="62"/>
      <c r="N38" s="19"/>
      <c r="O38" s="1"/>
    </row>
    <row r="39" spans="1:17" ht="139.05000000000001" customHeight="1" x14ac:dyDescent="0.3">
      <c r="A39" s="1"/>
      <c r="B39" s="18"/>
      <c r="C39" s="64" t="s">
        <v>111</v>
      </c>
      <c r="D39" s="71" t="s">
        <v>128</v>
      </c>
      <c r="E39" s="55" t="s">
        <v>114</v>
      </c>
      <c r="F39" s="56" t="s">
        <v>129</v>
      </c>
      <c r="G39" s="57" t="s">
        <v>130</v>
      </c>
      <c r="H39" s="56" t="s">
        <v>131</v>
      </c>
      <c r="I39" s="103" t="s">
        <v>132</v>
      </c>
      <c r="J39" s="104"/>
      <c r="K39" s="89">
        <f>IF(E40="yes", SUM(F40:J40), 0)</f>
        <v>15</v>
      </c>
      <c r="L39" s="94" t="s">
        <v>19</v>
      </c>
      <c r="M39" s="94">
        <v>15</v>
      </c>
      <c r="N39" s="19"/>
      <c r="O39" s="1"/>
    </row>
    <row r="40" spans="1:17" ht="24.75" customHeight="1" x14ac:dyDescent="0.3">
      <c r="A40" s="1"/>
      <c r="B40" s="18"/>
      <c r="C40" s="64"/>
      <c r="D40" s="74" t="s">
        <v>20</v>
      </c>
      <c r="E40" s="58" t="s">
        <v>141</v>
      </c>
      <c r="F40" s="58">
        <v>4</v>
      </c>
      <c r="G40" s="58">
        <v>4</v>
      </c>
      <c r="H40" s="58">
        <v>4</v>
      </c>
      <c r="I40" s="107">
        <v>3</v>
      </c>
      <c r="J40" s="108"/>
      <c r="K40" s="90"/>
      <c r="L40" s="95"/>
      <c r="M40" s="95"/>
      <c r="N40" s="19"/>
      <c r="O40" s="1"/>
    </row>
    <row r="41" spans="1:17" ht="37.5" customHeight="1" x14ac:dyDescent="0.3">
      <c r="A41" s="1"/>
      <c r="B41" s="18"/>
      <c r="C41" s="18"/>
      <c r="D41" s="20"/>
      <c r="E41" s="20"/>
      <c r="F41" s="20"/>
      <c r="G41" s="20"/>
      <c r="H41" s="21"/>
      <c r="I41" s="21"/>
      <c r="J41" s="67" t="s">
        <v>34</v>
      </c>
      <c r="K41" s="68">
        <f>SUM(K13:K39)</f>
        <v>95</v>
      </c>
      <c r="L41" s="68" t="s">
        <v>19</v>
      </c>
      <c r="M41" s="68">
        <f>SUM(M13:M39)</f>
        <v>100</v>
      </c>
      <c r="N41" s="19"/>
      <c r="O41" s="1"/>
    </row>
    <row r="42" spans="1:17" ht="18" x14ac:dyDescent="0.3">
      <c r="A42" s="1"/>
      <c r="B42" s="18"/>
      <c r="C42" s="18"/>
      <c r="D42" s="4"/>
      <c r="E42" s="4"/>
      <c r="F42" s="4"/>
      <c r="G42" s="4"/>
      <c r="H42" s="4"/>
      <c r="I42" s="4"/>
      <c r="J42" s="4"/>
      <c r="K42" s="4"/>
      <c r="L42" s="4"/>
      <c r="M42" s="4"/>
      <c r="N42" s="4"/>
      <c r="O42" s="1"/>
      <c r="P42" s="22"/>
      <c r="Q42" s="2"/>
    </row>
    <row r="43" spans="1:17" x14ac:dyDescent="0.3">
      <c r="A43" s="1"/>
      <c r="B43" s="1"/>
      <c r="C43" s="1"/>
      <c r="D43" s="1"/>
      <c r="E43" s="1"/>
      <c r="F43" s="1"/>
      <c r="G43" s="1"/>
      <c r="H43" s="1"/>
      <c r="I43" s="1"/>
      <c r="J43" s="1"/>
      <c r="K43" s="1"/>
      <c r="L43" s="1"/>
      <c r="M43" s="1"/>
      <c r="N43" s="1"/>
      <c r="O43" s="1"/>
      <c r="Q43" s="2"/>
    </row>
    <row r="44" spans="1:17" ht="30.75" customHeight="1" x14ac:dyDescent="0.45">
      <c r="A44" s="1"/>
      <c r="B44" s="18"/>
      <c r="C44" s="102" t="s">
        <v>35</v>
      </c>
      <c r="D44" s="102"/>
      <c r="E44" s="102"/>
      <c r="F44" s="23"/>
      <c r="G44" s="23"/>
      <c r="H44" s="23"/>
      <c r="I44" s="23"/>
      <c r="J44" s="23"/>
      <c r="K44" s="23"/>
      <c r="L44" s="23"/>
      <c r="M44" s="24"/>
      <c r="N44" s="19"/>
      <c r="O44" s="1"/>
    </row>
    <row r="45" spans="1:17" ht="18" customHeight="1" x14ac:dyDescent="0.3">
      <c r="A45" s="1"/>
      <c r="B45" s="4"/>
      <c r="C45" s="9" t="s">
        <v>36</v>
      </c>
      <c r="D45" s="9" t="s">
        <v>37</v>
      </c>
      <c r="E45" s="101" t="s">
        <v>38</v>
      </c>
      <c r="F45" s="101"/>
      <c r="G45" s="101"/>
      <c r="H45" s="101"/>
      <c r="I45" s="101"/>
      <c r="J45" s="25"/>
      <c r="K45" s="9"/>
      <c r="L45" s="9"/>
      <c r="M45" s="26" t="s">
        <v>39</v>
      </c>
      <c r="N45" s="19"/>
      <c r="O45" s="1"/>
    </row>
    <row r="46" spans="1:17" ht="39.75" customHeight="1" x14ac:dyDescent="0.3">
      <c r="A46" s="1"/>
      <c r="B46" s="18"/>
      <c r="C46" s="27" t="s">
        <v>40</v>
      </c>
      <c r="D46" s="28" t="s">
        <v>41</v>
      </c>
      <c r="E46" s="109" t="s">
        <v>42</v>
      </c>
      <c r="F46" s="109"/>
      <c r="G46" s="109"/>
      <c r="H46" s="109"/>
      <c r="I46" s="109"/>
      <c r="J46" s="109"/>
      <c r="K46" s="109"/>
      <c r="L46" s="28"/>
      <c r="M46" s="29">
        <v>3</v>
      </c>
      <c r="N46" s="19"/>
      <c r="O46" s="1"/>
    </row>
    <row r="47" spans="1:17" ht="39.75" customHeight="1" x14ac:dyDescent="0.3">
      <c r="A47" s="1"/>
      <c r="B47" s="4"/>
      <c r="C47" s="30" t="s">
        <v>40</v>
      </c>
      <c r="D47" s="28" t="s">
        <v>43</v>
      </c>
      <c r="E47" s="109" t="s">
        <v>44</v>
      </c>
      <c r="F47" s="109"/>
      <c r="G47" s="109"/>
      <c r="H47" s="109"/>
      <c r="I47" s="109"/>
      <c r="J47" s="109"/>
      <c r="K47" s="109"/>
      <c r="L47" s="28"/>
      <c r="M47" s="31">
        <v>3</v>
      </c>
      <c r="N47" s="19"/>
      <c r="O47" s="1"/>
    </row>
    <row r="48" spans="1:17" ht="39.75" customHeight="1" x14ac:dyDescent="0.3">
      <c r="A48" s="1"/>
      <c r="B48" s="18"/>
      <c r="C48" s="27" t="s">
        <v>40</v>
      </c>
      <c r="D48" s="28" t="s">
        <v>45</v>
      </c>
      <c r="E48" s="109" t="s">
        <v>46</v>
      </c>
      <c r="F48" s="109"/>
      <c r="G48" s="109"/>
      <c r="H48" s="109"/>
      <c r="I48" s="109"/>
      <c r="J48" s="109"/>
      <c r="K48" s="109"/>
      <c r="L48" s="28"/>
      <c r="M48" s="29">
        <v>3</v>
      </c>
      <c r="N48" s="19"/>
      <c r="O48" s="1"/>
    </row>
    <row r="49" spans="1:15" ht="39.75" customHeight="1" x14ac:dyDescent="0.3">
      <c r="A49" s="1"/>
      <c r="B49" s="4"/>
      <c r="C49" s="32" t="s">
        <v>47</v>
      </c>
      <c r="D49" s="33" t="s">
        <v>48</v>
      </c>
      <c r="E49" s="110" t="s">
        <v>49</v>
      </c>
      <c r="F49" s="110"/>
      <c r="G49" s="110"/>
      <c r="H49" s="110"/>
      <c r="I49" s="110"/>
      <c r="J49" s="110"/>
      <c r="K49" s="110"/>
      <c r="L49" s="33"/>
      <c r="M49" s="34">
        <v>3</v>
      </c>
      <c r="N49" s="19"/>
      <c r="O49" s="1"/>
    </row>
    <row r="50" spans="1:15" ht="39.75" customHeight="1" x14ac:dyDescent="0.3">
      <c r="A50" s="1"/>
      <c r="B50" s="18"/>
      <c r="C50" s="35" t="s">
        <v>47</v>
      </c>
      <c r="D50" s="36" t="s">
        <v>50</v>
      </c>
      <c r="E50" s="111" t="s">
        <v>51</v>
      </c>
      <c r="F50" s="111"/>
      <c r="G50" s="111"/>
      <c r="H50" s="111"/>
      <c r="I50" s="111"/>
      <c r="J50" s="111"/>
      <c r="K50" s="111"/>
      <c r="L50" s="36"/>
      <c r="M50" s="37">
        <v>3</v>
      </c>
      <c r="N50" s="19"/>
      <c r="O50" s="1"/>
    </row>
    <row r="51" spans="1:15" ht="39.75" customHeight="1" x14ac:dyDescent="0.3">
      <c r="A51" s="38"/>
      <c r="B51" s="39"/>
      <c r="C51" s="40" t="s">
        <v>52</v>
      </c>
      <c r="D51" s="33" t="s">
        <v>53</v>
      </c>
      <c r="E51" s="110" t="s">
        <v>54</v>
      </c>
      <c r="F51" s="110"/>
      <c r="G51" s="110"/>
      <c r="H51" s="110"/>
      <c r="I51" s="110"/>
      <c r="J51" s="110"/>
      <c r="K51" s="110"/>
      <c r="L51" s="33"/>
      <c r="M51" s="41">
        <v>3</v>
      </c>
      <c r="N51" s="42"/>
      <c r="O51" s="38"/>
    </row>
    <row r="52" spans="1:15" ht="39.75" customHeight="1" x14ac:dyDescent="0.3">
      <c r="A52" s="1"/>
      <c r="B52" s="4"/>
      <c r="C52" s="43" t="s">
        <v>55</v>
      </c>
      <c r="D52" s="36" t="s">
        <v>56</v>
      </c>
      <c r="E52" s="111" t="s">
        <v>57</v>
      </c>
      <c r="F52" s="111"/>
      <c r="G52" s="111"/>
      <c r="H52" s="111"/>
      <c r="I52" s="111"/>
      <c r="J52" s="111"/>
      <c r="K52" s="111"/>
      <c r="L52" s="36"/>
      <c r="M52" s="44">
        <v>3</v>
      </c>
      <c r="N52" s="19"/>
      <c r="O52" s="1"/>
    </row>
    <row r="53" spans="1:15" ht="39.75" customHeight="1" x14ac:dyDescent="0.3">
      <c r="A53" s="1"/>
      <c r="B53" s="4"/>
      <c r="C53" s="32" t="s">
        <v>58</v>
      </c>
      <c r="D53" s="33" t="s">
        <v>58</v>
      </c>
      <c r="E53" s="110" t="s">
        <v>59</v>
      </c>
      <c r="F53" s="110"/>
      <c r="G53" s="110"/>
      <c r="H53" s="110"/>
      <c r="I53" s="110"/>
      <c r="J53" s="110"/>
      <c r="K53" s="110"/>
      <c r="L53" s="33"/>
      <c r="M53" s="34">
        <v>3</v>
      </c>
      <c r="N53" s="19"/>
      <c r="O53" s="1"/>
    </row>
    <row r="54" spans="1:15" ht="39.75" customHeight="1" x14ac:dyDescent="0.3">
      <c r="A54" s="1"/>
      <c r="B54" s="4"/>
      <c r="C54" s="35" t="s">
        <v>58</v>
      </c>
      <c r="D54" s="36" t="s">
        <v>60</v>
      </c>
      <c r="E54" s="111" t="s">
        <v>61</v>
      </c>
      <c r="F54" s="111"/>
      <c r="G54" s="111"/>
      <c r="H54" s="111"/>
      <c r="I54" s="111"/>
      <c r="J54" s="111"/>
      <c r="K54" s="111"/>
      <c r="L54" s="36"/>
      <c r="M54" s="37">
        <v>3</v>
      </c>
      <c r="N54" s="19"/>
      <c r="O54" s="1"/>
    </row>
    <row r="55" spans="1:15" ht="39.75" customHeight="1" x14ac:dyDescent="0.3">
      <c r="A55" s="45"/>
      <c r="B55" s="46"/>
      <c r="C55" s="40" t="s">
        <v>62</v>
      </c>
      <c r="D55" s="33" t="s">
        <v>63</v>
      </c>
      <c r="E55" s="110" t="s">
        <v>64</v>
      </c>
      <c r="F55" s="110"/>
      <c r="G55" s="110"/>
      <c r="H55" s="110"/>
      <c r="I55" s="110"/>
      <c r="J55" s="110"/>
      <c r="K55" s="110"/>
      <c r="L55" s="33"/>
      <c r="M55" s="41">
        <v>3</v>
      </c>
      <c r="N55" s="47"/>
      <c r="O55" s="45"/>
    </row>
    <row r="56" spans="1:15" ht="39.75" customHeight="1" x14ac:dyDescent="0.3">
      <c r="A56" s="1"/>
      <c r="B56" s="18"/>
      <c r="C56" s="43" t="s">
        <v>62</v>
      </c>
      <c r="D56" s="36" t="s">
        <v>65</v>
      </c>
      <c r="E56" s="111" t="s">
        <v>66</v>
      </c>
      <c r="F56" s="111"/>
      <c r="G56" s="111"/>
      <c r="H56" s="111"/>
      <c r="I56" s="111"/>
      <c r="J56" s="111"/>
      <c r="K56" s="111"/>
      <c r="L56" s="36"/>
      <c r="M56" s="44">
        <v>3</v>
      </c>
      <c r="N56" s="19"/>
      <c r="O56" s="1"/>
    </row>
    <row r="57" spans="1:15" x14ac:dyDescent="0.3">
      <c r="A57" s="1"/>
      <c r="B57" s="4"/>
      <c r="C57" s="4"/>
      <c r="D57" s="23"/>
      <c r="E57" s="23"/>
      <c r="F57" s="23"/>
      <c r="G57" s="23"/>
      <c r="H57" s="23"/>
      <c r="I57" s="23"/>
      <c r="J57" s="23"/>
      <c r="K57" s="23"/>
      <c r="L57" s="23"/>
      <c r="M57" s="23"/>
      <c r="N57" s="23"/>
      <c r="O57" s="1"/>
    </row>
    <row r="58" spans="1:15" x14ac:dyDescent="0.3">
      <c r="A58" s="1"/>
      <c r="B58" s="1"/>
      <c r="C58" s="1"/>
      <c r="D58" s="1"/>
      <c r="E58" s="1"/>
      <c r="F58" s="1"/>
      <c r="G58" s="1"/>
      <c r="H58" s="1"/>
      <c r="I58" s="1"/>
      <c r="J58" s="1"/>
      <c r="K58" s="1"/>
      <c r="L58" s="1"/>
      <c r="M58" s="1"/>
      <c r="N58" s="1"/>
      <c r="O58" s="1"/>
    </row>
    <row r="59" spans="1:15" ht="23.4" x14ac:dyDescent="0.45">
      <c r="A59" s="1" t="s">
        <v>67</v>
      </c>
      <c r="B59" s="48" t="s">
        <v>67</v>
      </c>
      <c r="C59" s="102" t="s">
        <v>68</v>
      </c>
      <c r="D59" s="102"/>
      <c r="E59" s="102"/>
      <c r="F59" s="49" t="s">
        <v>67</v>
      </c>
      <c r="G59" s="4" t="s">
        <v>67</v>
      </c>
      <c r="H59" s="4" t="s">
        <v>67</v>
      </c>
      <c r="I59" s="4" t="s">
        <v>67</v>
      </c>
      <c r="J59" s="4" t="s">
        <v>67</v>
      </c>
      <c r="K59" s="4" t="s">
        <v>67</v>
      </c>
      <c r="L59" s="4"/>
      <c r="M59" s="4" t="s">
        <v>67</v>
      </c>
      <c r="N59" s="4" t="s">
        <v>67</v>
      </c>
      <c r="O59" s="1" t="s">
        <v>67</v>
      </c>
    </row>
    <row r="60" spans="1:15" ht="15" customHeight="1" x14ac:dyDescent="0.3">
      <c r="A60" s="1" t="s">
        <v>67</v>
      </c>
      <c r="B60" s="48" t="s">
        <v>67</v>
      </c>
      <c r="C60" s="13" t="s">
        <v>69</v>
      </c>
      <c r="D60" s="13" t="s">
        <v>70</v>
      </c>
      <c r="E60" s="116" t="s">
        <v>71</v>
      </c>
      <c r="F60" s="116"/>
      <c r="G60" s="116"/>
      <c r="H60" s="116"/>
      <c r="I60" s="50" t="s">
        <v>72</v>
      </c>
      <c r="J60" s="13"/>
      <c r="K60" s="13"/>
      <c r="L60" s="13"/>
      <c r="M60" s="13"/>
      <c r="N60" s="4" t="s">
        <v>67</v>
      </c>
      <c r="O60" s="1" t="s">
        <v>67</v>
      </c>
    </row>
    <row r="61" spans="1:15" ht="65.25" customHeight="1" x14ac:dyDescent="0.3">
      <c r="A61" s="1" t="s">
        <v>67</v>
      </c>
      <c r="B61" s="4" t="s">
        <v>67</v>
      </c>
      <c r="C61" s="51">
        <v>1</v>
      </c>
      <c r="D61" s="52" t="s">
        <v>73</v>
      </c>
      <c r="E61" s="114" t="s">
        <v>74</v>
      </c>
      <c r="F61" s="114"/>
      <c r="G61" s="114"/>
      <c r="H61" s="114"/>
      <c r="I61" s="115" t="s">
        <v>75</v>
      </c>
      <c r="J61" s="115"/>
      <c r="K61" s="115"/>
      <c r="L61" s="115"/>
      <c r="M61" s="115"/>
      <c r="N61" s="4" t="s">
        <v>67</v>
      </c>
      <c r="O61" s="1" t="s">
        <v>67</v>
      </c>
    </row>
    <row r="62" spans="1:15" ht="49.5" customHeight="1" x14ac:dyDescent="0.3">
      <c r="A62" s="1" t="s">
        <v>67</v>
      </c>
      <c r="B62" s="4" t="s">
        <v>67</v>
      </c>
      <c r="C62" s="53">
        <v>2</v>
      </c>
      <c r="D62" s="54" t="s">
        <v>76</v>
      </c>
      <c r="E62" s="112" t="s">
        <v>77</v>
      </c>
      <c r="F62" s="112"/>
      <c r="G62" s="112"/>
      <c r="H62" s="112"/>
      <c r="I62" s="113" t="s">
        <v>78</v>
      </c>
      <c r="J62" s="113"/>
      <c r="K62" s="113"/>
      <c r="L62" s="113"/>
      <c r="M62" s="113"/>
      <c r="N62" s="4" t="s">
        <v>67</v>
      </c>
      <c r="O62" s="1" t="s">
        <v>67</v>
      </c>
    </row>
    <row r="63" spans="1:15" ht="46.5" customHeight="1" x14ac:dyDescent="0.3">
      <c r="A63" s="1" t="s">
        <v>67</v>
      </c>
      <c r="B63" s="4" t="s">
        <v>67</v>
      </c>
      <c r="C63" s="51">
        <v>3</v>
      </c>
      <c r="D63" s="52" t="s">
        <v>79</v>
      </c>
      <c r="E63" s="114" t="s">
        <v>80</v>
      </c>
      <c r="F63" s="114"/>
      <c r="G63" s="114"/>
      <c r="H63" s="114"/>
      <c r="I63" s="115" t="s">
        <v>81</v>
      </c>
      <c r="J63" s="115"/>
      <c r="K63" s="115"/>
      <c r="L63" s="115"/>
      <c r="M63" s="115"/>
      <c r="N63" s="4" t="s">
        <v>67</v>
      </c>
      <c r="O63" s="1" t="s">
        <v>67</v>
      </c>
    </row>
    <row r="64" spans="1:15" ht="39" customHeight="1" x14ac:dyDescent="0.3">
      <c r="A64" s="1" t="s">
        <v>67</v>
      </c>
      <c r="B64" s="4" t="s">
        <v>67</v>
      </c>
      <c r="C64" s="53">
        <v>4</v>
      </c>
      <c r="D64" s="54" t="s">
        <v>82</v>
      </c>
      <c r="E64" s="112" t="s">
        <v>83</v>
      </c>
      <c r="F64" s="112"/>
      <c r="G64" s="112"/>
      <c r="H64" s="112"/>
      <c r="I64" s="113" t="s">
        <v>84</v>
      </c>
      <c r="J64" s="113"/>
      <c r="K64" s="113"/>
      <c r="L64" s="113"/>
      <c r="M64" s="113"/>
      <c r="N64" s="4" t="s">
        <v>67</v>
      </c>
      <c r="O64" s="1" t="s">
        <v>67</v>
      </c>
    </row>
    <row r="65" spans="1:15" ht="35.25" customHeight="1" x14ac:dyDescent="0.3">
      <c r="A65" s="1" t="s">
        <v>67</v>
      </c>
      <c r="B65" s="4" t="s">
        <v>67</v>
      </c>
      <c r="C65" s="51">
        <v>5</v>
      </c>
      <c r="D65" s="52" t="s">
        <v>85</v>
      </c>
      <c r="E65" s="114" t="s">
        <v>86</v>
      </c>
      <c r="F65" s="114"/>
      <c r="G65" s="114"/>
      <c r="H65" s="114"/>
      <c r="I65" s="115" t="s">
        <v>87</v>
      </c>
      <c r="J65" s="115"/>
      <c r="K65" s="115"/>
      <c r="L65" s="115"/>
      <c r="M65" s="115"/>
      <c r="N65" s="4" t="s">
        <v>67</v>
      </c>
      <c r="O65" s="1" t="s">
        <v>67</v>
      </c>
    </row>
    <row r="66" spans="1:15" x14ac:dyDescent="0.3">
      <c r="A66" s="1" t="s">
        <v>67</v>
      </c>
      <c r="B66" s="4" t="s">
        <v>67</v>
      </c>
      <c r="C66" s="4" t="s">
        <v>67</v>
      </c>
      <c r="D66" s="4" t="s">
        <v>67</v>
      </c>
      <c r="E66" s="4" t="s">
        <v>67</v>
      </c>
      <c r="F66" s="4" t="s">
        <v>67</v>
      </c>
      <c r="G66" s="4" t="s">
        <v>67</v>
      </c>
      <c r="H66" s="4" t="s">
        <v>67</v>
      </c>
      <c r="I66" s="4" t="s">
        <v>67</v>
      </c>
      <c r="J66" s="4" t="s">
        <v>67</v>
      </c>
      <c r="K66" s="4" t="s">
        <v>67</v>
      </c>
      <c r="L66" s="4"/>
      <c r="M66" s="4" t="s">
        <v>67</v>
      </c>
      <c r="N66" s="4" t="s">
        <v>67</v>
      </c>
      <c r="O66" s="1" t="s">
        <v>67</v>
      </c>
    </row>
    <row r="67" spans="1:15" x14ac:dyDescent="0.3">
      <c r="A67" s="1" t="s">
        <v>67</v>
      </c>
      <c r="B67" s="1" t="s">
        <v>67</v>
      </c>
      <c r="C67" s="1" t="s">
        <v>67</v>
      </c>
      <c r="D67" s="1" t="s">
        <v>67</v>
      </c>
      <c r="E67" s="1" t="s">
        <v>67</v>
      </c>
      <c r="F67" s="1" t="s">
        <v>67</v>
      </c>
      <c r="G67" s="1" t="s">
        <v>67</v>
      </c>
      <c r="H67" s="1" t="s">
        <v>67</v>
      </c>
      <c r="I67" s="1" t="s">
        <v>67</v>
      </c>
      <c r="J67" s="1" t="s">
        <v>67</v>
      </c>
      <c r="K67" s="1" t="s">
        <v>67</v>
      </c>
      <c r="L67" s="1"/>
      <c r="M67" s="1" t="s">
        <v>67</v>
      </c>
      <c r="N67" s="1" t="s">
        <v>67</v>
      </c>
      <c r="O67" s="1" t="s">
        <v>67</v>
      </c>
    </row>
    <row r="75" spans="1:15" ht="18.75" customHeight="1" x14ac:dyDescent="0.3"/>
  </sheetData>
  <protectedRanges>
    <protectedRange algorithmName="SHA-512" hashValue="NcQe0VjxFnxU9SziGkmWOoYUYoQ0T62vv+WqFE1sowJD2+jDiq1RKEMS6wObDPCk433k/JG1CTU3j62rwNOzdg==" saltValue="OlYFZTFPx5QDCqKlqXj8fw==" spinCount="100000" sqref="D11:M11 C12:L12 C15:L15 D41:M41 I19:L19 C16:J16 C32:J32 C39:L39 C20:J20 C24:J24 C28:J28 C40:J40 C35:L35 C31:L31 C27:L27 C19:F19 C23:I23 K23:L23 C36:J36" name="Range1_2_1_7"/>
  </protectedRanges>
  <mergeCells count="89">
    <mergeCell ref="E64:H64"/>
    <mergeCell ref="I64:M64"/>
    <mergeCell ref="E65:H65"/>
    <mergeCell ref="I65:M65"/>
    <mergeCell ref="E60:H60"/>
    <mergeCell ref="E61:H61"/>
    <mergeCell ref="I61:M61"/>
    <mergeCell ref="E62:H62"/>
    <mergeCell ref="I62:M62"/>
    <mergeCell ref="E63:H63"/>
    <mergeCell ref="I63:M63"/>
    <mergeCell ref="M31:M32"/>
    <mergeCell ref="L39:L40"/>
    <mergeCell ref="M39:M40"/>
    <mergeCell ref="C59:E59"/>
    <mergeCell ref="E46:K46"/>
    <mergeCell ref="E47:K47"/>
    <mergeCell ref="E48:K48"/>
    <mergeCell ref="E49:K49"/>
    <mergeCell ref="E50:K50"/>
    <mergeCell ref="E51:K51"/>
    <mergeCell ref="E52:K52"/>
    <mergeCell ref="E53:K53"/>
    <mergeCell ref="E54:K54"/>
    <mergeCell ref="E55:K55"/>
    <mergeCell ref="E56:K56"/>
    <mergeCell ref="M35:M36"/>
    <mergeCell ref="L31:L32"/>
    <mergeCell ref="E45:I45"/>
    <mergeCell ref="D37:J37"/>
    <mergeCell ref="C44:E44"/>
    <mergeCell ref="D33:J33"/>
    <mergeCell ref="K35:K36"/>
    <mergeCell ref="L35:L36"/>
    <mergeCell ref="F32:G32"/>
    <mergeCell ref="H32:J32"/>
    <mergeCell ref="I39:J39"/>
    <mergeCell ref="I38:J38"/>
    <mergeCell ref="I40:J40"/>
    <mergeCell ref="L27:L28"/>
    <mergeCell ref="L4:M8"/>
    <mergeCell ref="D13:K13"/>
    <mergeCell ref="D17:K17"/>
    <mergeCell ref="F12:J12"/>
    <mergeCell ref="D21:K21"/>
    <mergeCell ref="D25:J25"/>
    <mergeCell ref="I18:J18"/>
    <mergeCell ref="I19:J19"/>
    <mergeCell ref="I20:J20"/>
    <mergeCell ref="G15:H15"/>
    <mergeCell ref="I15:J15"/>
    <mergeCell ref="G16:H16"/>
    <mergeCell ref="G14:H14"/>
    <mergeCell ref="I14:J14"/>
    <mergeCell ref="I16:J16"/>
    <mergeCell ref="F3:J3"/>
    <mergeCell ref="F4:J8"/>
    <mergeCell ref="D11:M11"/>
    <mergeCell ref="K39:K40"/>
    <mergeCell ref="K15:K16"/>
    <mergeCell ref="M15:M16"/>
    <mergeCell ref="L15:L16"/>
    <mergeCell ref="K19:K20"/>
    <mergeCell ref="M19:M20"/>
    <mergeCell ref="L19:L20"/>
    <mergeCell ref="K23:K24"/>
    <mergeCell ref="L23:L24"/>
    <mergeCell ref="K4:K8"/>
    <mergeCell ref="M23:M24"/>
    <mergeCell ref="K27:K28"/>
    <mergeCell ref="M27:M28"/>
    <mergeCell ref="F30:G30"/>
    <mergeCell ref="F31:G31"/>
    <mergeCell ref="H31:J31"/>
    <mergeCell ref="H30:J30"/>
    <mergeCell ref="D29:K29"/>
    <mergeCell ref="K31:K32"/>
    <mergeCell ref="I27:J27"/>
    <mergeCell ref="I26:J26"/>
    <mergeCell ref="I28:J28"/>
    <mergeCell ref="F18:H18"/>
    <mergeCell ref="F19:H19"/>
    <mergeCell ref="F20:H20"/>
    <mergeCell ref="I22:J22"/>
    <mergeCell ref="I23:J23"/>
    <mergeCell ref="I24:J24"/>
    <mergeCell ref="F26:G26"/>
    <mergeCell ref="F27:G27"/>
    <mergeCell ref="F28:G28"/>
  </mergeCells>
  <phoneticPr fontId="20" type="noConversion"/>
  <conditionalFormatting sqref="K41:M41">
    <cfRule type="cellIs" dxfId="3" priority="4" operator="equal">
      <formula>100</formula>
    </cfRule>
  </conditionalFormatting>
  <conditionalFormatting sqref="L4">
    <cfRule type="containsText" dxfId="2" priority="1" operator="containsText" text="FAIL">
      <formula>NOT(ISERROR(SEARCH(("FAIL"),(L4))))</formula>
    </cfRule>
    <cfRule type="cellIs" dxfId="1" priority="2" operator="equal">
      <formula>"PASS"</formula>
    </cfRule>
    <cfRule type="cellIs" dxfId="0" priority="3" operator="equal">
      <formula>"M/O"</formula>
    </cfRule>
  </conditionalFormatting>
  <dataValidations count="7">
    <dataValidation type="list" allowBlank="1" showInputMessage="1" showErrorMessage="1" sqref="E16 E20 E24 E28 E40 E32 E36" xr:uid="{F9A840AF-F3C5-4651-B035-D50110E1A64F}">
      <formula1>"yes,no"</formula1>
    </dataValidation>
    <dataValidation type="list" allowBlank="1" showInputMessage="1" showErrorMessage="1" sqref="F16 I40:J40 H28:I28 F24:G24" xr:uid="{9E087D27-6EC4-441F-804F-24735A685B8E}">
      <formula1>"0,1,2,3"</formula1>
    </dataValidation>
    <dataValidation type="list" allowBlank="1" showInputMessage="1" showErrorMessage="1" sqref="G16:H16" xr:uid="{E3278119-4AE6-401C-9E9C-7691031BA9C2}">
      <formula1>"0,1,2"</formula1>
    </dataValidation>
    <dataValidation type="list" allowBlank="1" showInputMessage="1" showErrorMessage="1" sqref="I16:J16 I24:J24 F20:J20" xr:uid="{5F493CF3-AD8B-43CE-997C-FD2C41140C5A}">
      <formula1>"0,1,2,3,4,5"</formula1>
    </dataValidation>
    <dataValidation type="list" allowBlank="1" showInputMessage="1" showErrorMessage="1" sqref="F32:G32 F40:H40 F28:G28 H24 G36 F36" xr:uid="{A0854531-359F-442A-A4F2-9A9DF054E107}">
      <formula1>"0,1,2,3,4"</formula1>
    </dataValidation>
    <dataValidation type="list" allowBlank="1" showInputMessage="1" showErrorMessage="1" sqref="H32:J32 J36" xr:uid="{5573FBE1-1FE9-4D6C-819F-C919BEEE0122}">
      <formula1>"0,1,2,3,4,5,6"</formula1>
    </dataValidation>
    <dataValidation type="list" allowBlank="1" showInputMessage="1" showErrorMessage="1" sqref="H36:I36" xr:uid="{4911C84B-BC69-4935-825F-58E9A4E8EF77}">
      <formula1>"0,1,2,3,4,5,6,7,8"</formula1>
    </dataValidation>
  </dataValidations>
  <pageMargins left="0.7" right="0.7" top="0.75" bottom="0.75" header="0.3" footer="0.3"/>
  <pageSetup scale="22"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ff92c65-ed86-4457-baee-ccd535c9ea21">
      <Terms xmlns="http://schemas.microsoft.com/office/infopath/2007/PartnerControls"/>
    </lcf76f155ced4ddcb4097134ff3c332f>
    <TaxCatchAll xmlns="6c8d291c-a5bf-4049-930d-38db8e991d8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BADAD4AA324BF48804EF76FD903323C" ma:contentTypeVersion="15" ma:contentTypeDescription="Create a new document." ma:contentTypeScope="" ma:versionID="4ea0feda506421460444ca95554a0aab">
  <xsd:schema xmlns:xsd="http://www.w3.org/2001/XMLSchema" xmlns:xs="http://www.w3.org/2001/XMLSchema" xmlns:p="http://schemas.microsoft.com/office/2006/metadata/properties" xmlns:ns2="5ff92c65-ed86-4457-baee-ccd535c9ea21" xmlns:ns3="6c8d291c-a5bf-4049-930d-38db8e991d8e" targetNamespace="http://schemas.microsoft.com/office/2006/metadata/properties" ma:root="true" ma:fieldsID="0fc8cf7d0f5ee312899395875a30595e" ns2:_="" ns3:_="">
    <xsd:import namespace="5ff92c65-ed86-4457-baee-ccd535c9ea21"/>
    <xsd:import namespace="6c8d291c-a5bf-4049-930d-38db8e991d8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f92c65-ed86-4457-baee-ccd535c9ea2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65a90ea-d0e7-4aae-8ef9-9f5dd1eb65e3"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8d291c-a5bf-4049-930d-38db8e991d8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ad53588-c864-4711-ad43-fad96b40598a}" ma:internalName="TaxCatchAll" ma:showField="CatchAllData" ma:web="6c8d291c-a5bf-4049-930d-38db8e991d8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671027-F052-4339-B15F-48CB147F984A}">
  <ds:schemaRefs>
    <ds:schemaRef ds:uri="http://purl.org/dc/dcmitype/"/>
    <ds:schemaRef ds:uri="http://schemas.microsoft.com/office/2006/metadata/properties"/>
    <ds:schemaRef ds:uri="http://schemas.microsoft.com/office/2006/documentManagement/types"/>
    <ds:schemaRef ds:uri="http://schemas.microsoft.com/office/infopath/2007/PartnerControls"/>
    <ds:schemaRef ds:uri="6c8d291c-a5bf-4049-930d-38db8e991d8e"/>
    <ds:schemaRef ds:uri="http://schemas.openxmlformats.org/package/2006/metadata/core-properties"/>
    <ds:schemaRef ds:uri="http://purl.org/dc/elements/1.1/"/>
    <ds:schemaRef ds:uri="5ff92c65-ed86-4457-baee-ccd535c9ea21"/>
    <ds:schemaRef ds:uri="http://www.w3.org/XML/1998/namespace"/>
    <ds:schemaRef ds:uri="http://purl.org/dc/terms/"/>
  </ds:schemaRefs>
</ds:datastoreItem>
</file>

<file path=customXml/itemProps2.xml><?xml version="1.0" encoding="utf-8"?>
<ds:datastoreItem xmlns:ds="http://schemas.openxmlformats.org/officeDocument/2006/customXml" ds:itemID="{60061A6F-903B-4DA4-9726-E1BFC9A790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ff92c65-ed86-4457-baee-ccd535c9ea21"/>
    <ds:schemaRef ds:uri="6c8d291c-a5bf-4049-930d-38db8e991d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C04AB5D-8F7A-4FC8-AC84-C41B90593CB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 Y1C - ADS&amp;AI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Neggers, Margot</dc:creator>
  <cp:keywords/>
  <dc:description/>
  <cp:lastModifiedBy>m.jaberi14979@gmail.com</cp:lastModifiedBy>
  <cp:revision/>
  <dcterms:created xsi:type="dcterms:W3CDTF">2024-08-19T08:16:45Z</dcterms:created>
  <dcterms:modified xsi:type="dcterms:W3CDTF">2025-04-11T11:59:39Z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0x0101000BADAD4AA324BF48804EF76FD903323C</vt:lpwstr>
  </property>
  <property fmtid="{D5CDD505-2E9C-101B-9397-08002B2CF9AE}" pid="3" name="MediaServiceImageTags">
    <vt:lpwstr/>
  </property>
</Properties>
</file>