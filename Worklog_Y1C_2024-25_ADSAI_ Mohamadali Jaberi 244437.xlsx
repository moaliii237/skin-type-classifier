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sus\Desktop\Block C\"/>
    </mc:Choice>
  </mc:AlternateContent>
  <xr:revisionPtr revIDLastSave="0" documentId="13_ncr:1_{E909E3C9-881B-4638-A20A-F6E9EF1BFB65}" xr6:coauthVersionLast="47" xr6:coauthVersionMax="47" xr10:uidLastSave="{00000000-0000-0000-0000-000000000000}"/>
  <bookViews>
    <workbookView xWindow="-108" yWindow="-108" windowWidth="23256" windowHeight="12456" xr2:uid="{00000000-000D-0000-FFFF-FFFF00000000}"/>
  </bookViews>
  <sheets>
    <sheet name="Worklog_Tasks&amp;Times" sheetId="1" r:id="rId1"/>
    <sheet name="Overview" sheetId="2" r:id="rId2"/>
    <sheet name="Drop-downs" sheetId="3" state="hidden" r:id="rId3"/>
  </sheets>
  <definedNames>
    <definedName name="_xlnm._FilterDatabase" localSheetId="0" hidden="1">'Worklog_Tasks&amp;Times'!$A$1:$K$17</definedName>
    <definedName name="_xlnm.Print_Area" localSheetId="0">'Worklog_Tasks&amp;Times'!$A$1:$K$127</definedName>
    <definedName name="Z_8BAC9A6B_5D32_4E8D_967D_E17D357516F8_.wvu.FilterData" localSheetId="0" hidden="1">'Worklog_Tasks&amp;Times'!$A$1:$K$17</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2" i="1" l="1"/>
  <c r="G82" i="1"/>
  <c r="I61" i="1"/>
  <c r="I62" i="1"/>
  <c r="I63" i="1"/>
  <c r="G4" i="2" a="1"/>
  <c r="G4" i="2" s="1"/>
  <c r="H7" i="2" a="1"/>
  <c r="H7" i="2" s="1"/>
  <c r="H6" i="2" a="1"/>
  <c r="H6" i="2" s="1"/>
  <c r="H5" i="2" a="1"/>
  <c r="H5" i="2" s="1"/>
  <c r="G5" i="2" a="1"/>
  <c r="G5" i="2" s="1"/>
  <c r="I80" i="1"/>
  <c r="I81" i="1"/>
  <c r="I79" i="1"/>
  <c r="I76" i="1"/>
  <c r="I77" i="1"/>
  <c r="I78" i="1"/>
  <c r="I92" i="1"/>
  <c r="I95" i="1"/>
  <c r="I30" i="1"/>
  <c r="I31" i="1"/>
  <c r="I32" i="1"/>
  <c r="I34" i="1"/>
  <c r="I14" i="1"/>
  <c r="I15" i="1"/>
  <c r="I5" i="2" a="1"/>
  <c r="I5" i="2" s="1"/>
  <c r="J5" i="2" a="1"/>
  <c r="J5" i="2" s="1"/>
  <c r="G7" i="2" a="1"/>
  <c r="G7" i="2" s="1"/>
  <c r="F9" i="2" a="1"/>
  <c r="F9" i="2" s="1"/>
  <c r="G9" i="2" a="1"/>
  <c r="G9" i="2" s="1"/>
  <c r="I10" i="2" a="1"/>
  <c r="I10" i="2" s="1"/>
  <c r="J4" i="2" a="1"/>
  <c r="J4" i="2" s="1"/>
  <c r="I4" i="2" a="1"/>
  <c r="I4" i="2" s="1"/>
  <c r="H4" i="2" a="1"/>
  <c r="H4" i="2" s="1"/>
  <c r="F4" i="2" a="1"/>
  <c r="F4" i="2" s="1"/>
  <c r="E4" i="2" a="1"/>
  <c r="E4" i="2" s="1"/>
  <c r="D5" i="2" a="1"/>
  <c r="D5" i="2" s="1"/>
  <c r="D4" i="2" a="1"/>
  <c r="D4" i="2" s="1"/>
  <c r="C4" i="2" a="1"/>
  <c r="C4" i="2" s="1"/>
  <c r="B10" i="2"/>
  <c r="D10" i="2" s="1" a="1"/>
  <c r="D10" i="2" s="1"/>
  <c r="B9" i="2"/>
  <c r="E9" i="2" s="1" a="1"/>
  <c r="E9" i="2" s="1"/>
  <c r="B8" i="2"/>
  <c r="C8" i="2" s="1" a="1"/>
  <c r="C8" i="2" s="1"/>
  <c r="B7" i="2"/>
  <c r="E7" i="2" s="1" a="1"/>
  <c r="E7" i="2" s="1"/>
  <c r="B6" i="2"/>
  <c r="C6" i="2" s="1" a="1"/>
  <c r="C6" i="2" s="1"/>
  <c r="B5" i="2"/>
  <c r="F5" i="2" s="1" a="1"/>
  <c r="F5" i="2" s="1"/>
  <c r="B4" i="2"/>
  <c r="K3" i="2"/>
  <c r="B3" i="2"/>
  <c r="H125" i="1"/>
  <c r="G125" i="1"/>
  <c r="I124" i="1"/>
  <c r="I123" i="1"/>
  <c r="I122" i="1"/>
  <c r="I121" i="1"/>
  <c r="I120" i="1"/>
  <c r="I119" i="1"/>
  <c r="I118" i="1"/>
  <c r="I117" i="1"/>
  <c r="I116" i="1"/>
  <c r="I115" i="1"/>
  <c r="H111" i="1"/>
  <c r="G111" i="1"/>
  <c r="I110" i="1"/>
  <c r="I109" i="1"/>
  <c r="I108" i="1"/>
  <c r="I107" i="1"/>
  <c r="I106" i="1"/>
  <c r="I105" i="1"/>
  <c r="I104" i="1"/>
  <c r="I103" i="1"/>
  <c r="I102" i="1"/>
  <c r="I101" i="1"/>
  <c r="H97" i="1"/>
  <c r="G97" i="1"/>
  <c r="I96" i="1"/>
  <c r="I94" i="1"/>
  <c r="I93" i="1"/>
  <c r="I91" i="1"/>
  <c r="I90" i="1"/>
  <c r="I89" i="1"/>
  <c r="I88" i="1"/>
  <c r="I87" i="1"/>
  <c r="I86" i="1"/>
  <c r="I75" i="1"/>
  <c r="I74" i="1"/>
  <c r="I73" i="1"/>
  <c r="I72" i="1"/>
  <c r="I71" i="1"/>
  <c r="I70" i="1"/>
  <c r="I69" i="1"/>
  <c r="H65" i="1"/>
  <c r="G65" i="1"/>
  <c r="I64" i="1"/>
  <c r="I60" i="1"/>
  <c r="I59" i="1"/>
  <c r="I58" i="1"/>
  <c r="I57" i="1"/>
  <c r="I56" i="1"/>
  <c r="I55" i="1"/>
  <c r="I54" i="1"/>
  <c r="I53" i="1"/>
  <c r="H49" i="1"/>
  <c r="G49" i="1"/>
  <c r="I48" i="1"/>
  <c r="I47" i="1"/>
  <c r="I46" i="1"/>
  <c r="I45" i="1"/>
  <c r="I44" i="1"/>
  <c r="I43" i="1"/>
  <c r="I42" i="1"/>
  <c r="I41" i="1"/>
  <c r="I40" i="1"/>
  <c r="I39" i="1"/>
  <c r="H35" i="1"/>
  <c r="G35" i="1"/>
  <c r="I29" i="1"/>
  <c r="I28" i="1"/>
  <c r="I27" i="1"/>
  <c r="I26" i="1"/>
  <c r="I25" i="1"/>
  <c r="I24" i="1"/>
  <c r="I23" i="1"/>
  <c r="I22" i="1"/>
  <c r="I21" i="1"/>
  <c r="H17" i="1"/>
  <c r="G17" i="1"/>
  <c r="I16" i="1"/>
  <c r="I13" i="1"/>
  <c r="I12" i="1"/>
  <c r="I11" i="1"/>
  <c r="I10" i="1"/>
  <c r="I9" i="1"/>
  <c r="I8" i="1"/>
  <c r="I7" i="1"/>
  <c r="I6" i="1"/>
  <c r="I5" i="1"/>
  <c r="I82" i="1" l="1"/>
  <c r="E10" i="2" a="1"/>
  <c r="E10" i="2" s="1"/>
  <c r="J10" i="2" a="1"/>
  <c r="J10" i="2" s="1"/>
  <c r="G10" i="2" a="1"/>
  <c r="G10" i="2" s="1"/>
  <c r="C10" i="2" a="1"/>
  <c r="C10" i="2" s="1"/>
  <c r="H10" i="2" a="1"/>
  <c r="H10" i="2" s="1"/>
  <c r="F10" i="2" a="1"/>
  <c r="F10" i="2" s="1"/>
  <c r="C9" i="2" a="1"/>
  <c r="C9" i="2" s="1"/>
  <c r="J9" i="2" a="1"/>
  <c r="J9" i="2" s="1"/>
  <c r="I9" i="2" a="1"/>
  <c r="I9" i="2" s="1"/>
  <c r="D9" i="2" a="1"/>
  <c r="D9" i="2" s="1"/>
  <c r="H9" i="2" a="1"/>
  <c r="H9" i="2" s="1"/>
  <c r="D8" i="2" a="1"/>
  <c r="D8" i="2" s="1"/>
  <c r="J8" i="2" a="1"/>
  <c r="J8" i="2" s="1"/>
  <c r="I8" i="2" a="1"/>
  <c r="I8" i="2" s="1"/>
  <c r="H8" i="2" a="1"/>
  <c r="H8" i="2" s="1"/>
  <c r="G8" i="2" a="1"/>
  <c r="G8" i="2" s="1"/>
  <c r="F8" i="2" a="1"/>
  <c r="F8" i="2" s="1"/>
  <c r="E8" i="2" a="1"/>
  <c r="E8" i="2" s="1"/>
  <c r="D7" i="2" a="1"/>
  <c r="D7" i="2" s="1"/>
  <c r="C7" i="2" a="1"/>
  <c r="C7" i="2" s="1"/>
  <c r="I7" i="2" a="1"/>
  <c r="I7" i="2" s="1"/>
  <c r="J7" i="2" a="1"/>
  <c r="J7" i="2" s="1"/>
  <c r="F7" i="2" a="1"/>
  <c r="F7" i="2" s="1"/>
  <c r="D6" i="2" a="1"/>
  <c r="D6" i="2" s="1"/>
  <c r="J6" i="2" a="1"/>
  <c r="J6" i="2" s="1"/>
  <c r="I6" i="2" a="1"/>
  <c r="I6" i="2" s="1"/>
  <c r="G6" i="2" a="1"/>
  <c r="G6" i="2" s="1"/>
  <c r="G11" i="2" s="1"/>
  <c r="F6" i="2" a="1"/>
  <c r="F6" i="2" s="1"/>
  <c r="E6" i="2" a="1"/>
  <c r="E6" i="2" s="1"/>
  <c r="C5" i="2" a="1"/>
  <c r="C5" i="2" s="1"/>
  <c r="E5" i="2" a="1"/>
  <c r="E5" i="2" s="1"/>
  <c r="H127" i="1"/>
  <c r="K4" i="2"/>
  <c r="I17" i="1"/>
  <c r="I35" i="1"/>
  <c r="I49" i="1"/>
  <c r="I65" i="1"/>
  <c r="I97" i="1"/>
  <c r="I111" i="1"/>
  <c r="I125" i="1"/>
  <c r="G127" i="1"/>
  <c r="D11" i="2" l="1"/>
  <c r="K6" i="2"/>
  <c r="K9" i="2"/>
  <c r="K7" i="2"/>
  <c r="K10" i="2"/>
  <c r="H11" i="2"/>
  <c r="K8" i="2"/>
  <c r="I11" i="2"/>
  <c r="J11" i="2"/>
  <c r="C11" i="2"/>
  <c r="F11" i="2"/>
  <c r="E11" i="2"/>
  <c r="K5" i="2"/>
  <c r="I12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<sst xmlns="http://schemas.openxmlformats.org/spreadsheetml/2006/main" count="648" uniqueCount="274">
  <si>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</si>
  <si>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</si>
  <si>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</si>
  <si>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</si>
  <si>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</si>
  <si>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</si>
  <si>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</si>
  <si>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</si>
  <si>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</si>
  <si>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</si>
  <si>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</si>
  <si>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</si>
  <si>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</si>
  <si>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</si>
  <si>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</si>
  <si>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</si>
  <si>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</si>
  <si>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</si>
  <si>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</si>
  <si>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</si>
  <si>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</si>
  <si>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</si>
  <si>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</si>
  <si>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</si>
  <si>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</si>
  <si>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 xml:space="preserve">Week 8 </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</si>
  <si>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</si>
  <si>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</si>
  <si>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</si>
  <si>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</si>
  <si>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</si>
  <si>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</si>
  <si>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</si>
  <si>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</si>
  <si>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</si>
  <si>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</si>
  <si>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</si>
  <si>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</si>
  <si>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</si>
  <si>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t>Task Status</t>
  </si>
  <si>
    <t>ILO selection</t>
  </si>
  <si>
    <t>-</t>
  </si>
  <si>
    <t>Planned</t>
  </si>
  <si>
    <t>Design</t>
  </si>
  <si>
    <t>Unplanned</t>
  </si>
  <si>
    <t>Meeting</t>
  </si>
  <si>
    <t>Blocked</t>
  </si>
  <si>
    <t>Programming</t>
  </si>
  <si>
    <t>In-Progress</t>
  </si>
  <si>
    <t>Research</t>
  </si>
  <si>
    <t>Done</t>
  </si>
  <si>
    <t>Testing</t>
  </si>
  <si>
    <t>Delayed</t>
  </si>
  <si>
    <t>Workshop</t>
  </si>
  <si>
    <t>Cancelled</t>
  </si>
  <si>
    <t>Planning</t>
  </si>
  <si>
    <t>Evidencing</t>
  </si>
  <si>
    <t>Debugging</t>
  </si>
  <si>
    <t>Lecture</t>
  </si>
  <si>
    <t>Study</t>
  </si>
  <si>
    <t>Distraction</t>
  </si>
  <si>
    <t>Break</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</si>
  <si>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</si>
  <si>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ILO 1.3</t>
  </si>
  <si>
    <t>ILO 2.3</t>
  </si>
  <si>
    <t>ILO 3.2</t>
  </si>
  <si>
    <t>ILO 4.1</t>
  </si>
  <si>
    <t>ILO 6.2</t>
  </si>
  <si>
    <t>ILO 8.2</t>
  </si>
  <si>
    <t>ILO 9.1</t>
  </si>
  <si>
    <t>Creative brief</t>
  </si>
  <si>
    <t>Reading Creative brief contents</t>
  </si>
  <si>
    <t>Data lab content</t>
  </si>
  <si>
    <t>Reading data lab content</t>
  </si>
  <si>
    <t>I have completed data lab task</t>
  </si>
  <si>
    <t>Starting Block C</t>
  </si>
  <si>
    <t>Reading and trying to undrestand what we should do this Block</t>
  </si>
  <si>
    <t>Monday datalab</t>
  </si>
  <si>
    <t>Doing task 1,1 and 1,2 of Business Undrestanding template</t>
  </si>
  <si>
    <t xml:space="preserve">Business Understanding </t>
  </si>
  <si>
    <t>Business Understanding</t>
  </si>
  <si>
    <t>Presentation</t>
  </si>
  <si>
    <t>I attended to the kick off presentation</t>
  </si>
  <si>
    <t>Completeing task 1,3 and 1,4</t>
  </si>
  <si>
    <t>I hada a problem to create a daps diagram that is why it took more time</t>
  </si>
  <si>
    <t>Wednesday data lab</t>
  </si>
  <si>
    <t>Assignment</t>
  </si>
  <si>
    <t>I have completed Wednesday assignment</t>
  </si>
  <si>
    <t>Wednesday Quizz</t>
  </si>
  <si>
    <t>Reading Thuursday data lab content</t>
  </si>
  <si>
    <t>Thusrday Data lab</t>
  </si>
  <si>
    <t>Definition of Fairness and bias</t>
  </si>
  <si>
    <t>Thursday quizz</t>
  </si>
  <si>
    <t>completing Thursday quizz</t>
  </si>
  <si>
    <t>Friday data lab content</t>
  </si>
  <si>
    <t>collecting data set</t>
  </si>
  <si>
    <t>Collecting data set</t>
  </si>
  <si>
    <t>Because I was sick on Friday I couldn't study more.</t>
  </si>
  <si>
    <t>Collecting data set via generative AI and web scrapping.</t>
  </si>
  <si>
    <t>Finall Dataset</t>
  </si>
  <si>
    <t>Generative AI pictures</t>
  </si>
  <si>
    <t>Data lab Monday</t>
  </si>
  <si>
    <t>The last part was so confusing for me that is why it take more time for me</t>
  </si>
  <si>
    <t>Monday Quizz</t>
  </si>
  <si>
    <t>completed Monday quizz</t>
  </si>
  <si>
    <t xml:space="preserve">Monday Quizz </t>
  </si>
  <si>
    <t>Attending to Lecture</t>
  </si>
  <si>
    <t>Group fairness lecture</t>
  </si>
  <si>
    <t>Public speaking lecture</t>
  </si>
  <si>
    <t>Responsible AI</t>
  </si>
  <si>
    <t xml:space="preserve">Completing task 2,3 and 2,4 of Responsible AI template </t>
  </si>
  <si>
    <t>Reading data lab content Socratic dialogue</t>
  </si>
  <si>
    <t>Socratic Dialogue</t>
  </si>
  <si>
    <t>Socratic preparation</t>
  </si>
  <si>
    <t>task 2,1 of Responsible AI</t>
  </si>
  <si>
    <t>Book</t>
  </si>
  <si>
    <t>Deep learning with python</t>
  </si>
  <si>
    <t>Reading chapter 1 and 2 of Deep learning with python</t>
  </si>
  <si>
    <t>Data camp course</t>
  </si>
  <si>
    <t>Attending to data camp course 1 and 2</t>
  </si>
  <si>
    <t>I have completed Thursday quizz</t>
  </si>
  <si>
    <t>I was checking my answers with book context that is why it took more time than usual.</t>
  </si>
  <si>
    <t xml:space="preserve">Student notebook </t>
  </si>
  <si>
    <t xml:space="preserve">I have completed student notebook for mlp </t>
  </si>
  <si>
    <t>Practical Assignment</t>
  </si>
  <si>
    <t>Datacamp Certificate</t>
  </si>
  <si>
    <t>Task 2.1: Socratic Dialogue</t>
  </si>
  <si>
    <t>Thursday Quizz</t>
  </si>
  <si>
    <t>I have completely read data lab content</t>
  </si>
  <si>
    <t>Deep learning</t>
  </si>
  <si>
    <t>restudy book</t>
  </si>
  <si>
    <t>XAI</t>
  </si>
  <si>
    <t xml:space="preserve">Reading about explainable AI </t>
  </si>
  <si>
    <t>Today's material it was about explainable AI which I found It very useful.</t>
  </si>
  <si>
    <t>Youtube video</t>
  </si>
  <si>
    <t>introduction to explainable AI</t>
  </si>
  <si>
    <t>Introduction to XAI</t>
  </si>
  <si>
    <t>Reading Interpretable Machine Learning book</t>
  </si>
  <si>
    <t>Interpretable Machine Learning</t>
  </si>
  <si>
    <t xml:space="preserve">I truly enjoyed reading this book it was explaining everything very simple </t>
  </si>
  <si>
    <t>Datalab tasks</t>
  </si>
  <si>
    <t>Making a powerpoint and do the presentation</t>
  </si>
  <si>
    <t xml:space="preserve">Define data and Establish Baseline </t>
  </si>
  <si>
    <t>Label and organize Data</t>
  </si>
  <si>
    <t xml:space="preserve">Youtube video </t>
  </si>
  <si>
    <t xml:space="preserve">Working on my Deep learning template </t>
  </si>
  <si>
    <t>Linkedin Learning course</t>
  </si>
  <si>
    <t>Attending to Linkedin coursera</t>
  </si>
  <si>
    <t>Because I was sick on Tuesday I couldn't attend to workshop that is why I did linkedin course.</t>
  </si>
  <si>
    <t xml:space="preserve">Working on my Responsible AI </t>
  </si>
  <si>
    <t>Think-aloud Study</t>
  </si>
  <si>
    <t>Reading  datalab contents</t>
  </si>
  <si>
    <t>Datalab contents</t>
  </si>
  <si>
    <t>Wireframe</t>
  </si>
  <si>
    <t>Working on my wireframe</t>
  </si>
  <si>
    <t>Wireframe Mohammadali Jaberi</t>
  </si>
  <si>
    <t>Human centered AI</t>
  </si>
  <si>
    <t>Working on my Human centered AI template</t>
  </si>
  <si>
    <t>Think-Aloud Study</t>
  </si>
  <si>
    <t>Filling my Human centered AI</t>
  </si>
  <si>
    <t>Feedback</t>
  </si>
  <si>
    <t xml:space="preserve">Getting feedback from peers </t>
  </si>
  <si>
    <t>Watching video on Youtube about Introduction to Machine learning in production</t>
  </si>
  <si>
    <t xml:space="preserve">Introduction to ML </t>
  </si>
  <si>
    <t>Reading book</t>
  </si>
  <si>
    <t>Reading chapter 6 of Deep learning with Python</t>
  </si>
  <si>
    <t>Completed quiz</t>
  </si>
  <si>
    <t>Monday quiz</t>
  </si>
  <si>
    <t>Microsoft quiz</t>
  </si>
  <si>
    <t>Preparing microsoft quiz for HLP</t>
  </si>
  <si>
    <t>Microsoft survey</t>
  </si>
  <si>
    <t>Deeplearning template</t>
  </si>
  <si>
    <t>filling my Deep learning template</t>
  </si>
  <si>
    <t>Datalab content</t>
  </si>
  <si>
    <t xml:space="preserve">Reading datalab contents </t>
  </si>
  <si>
    <t>UX design</t>
  </si>
  <si>
    <t>Filling Human centered AI</t>
  </si>
  <si>
    <t>Filling Human centered template</t>
  </si>
  <si>
    <t>Wednesday quiz</t>
  </si>
  <si>
    <t>completing today's quiz</t>
  </si>
  <si>
    <t>Thusrday quiz</t>
  </si>
  <si>
    <t>Continueing Youtube video about introduction to ML</t>
  </si>
  <si>
    <t xml:space="preserve">Error analyse </t>
  </si>
  <si>
    <t>preparing to do error analyze</t>
  </si>
  <si>
    <t xml:space="preserve">I completely read datalab contents </t>
  </si>
  <si>
    <t>Datalab Monday</t>
  </si>
  <si>
    <t>Datacamp</t>
  </si>
  <si>
    <t xml:space="preserve">Finishing Datacamp course </t>
  </si>
  <si>
    <t>Reading chapter 7 and 8 of Deep learning with python</t>
  </si>
  <si>
    <t>Deep learning template</t>
  </si>
  <si>
    <t>Filling deeplearning template</t>
  </si>
  <si>
    <t>Working on my template on iteration 1 and 2 and also checking my template did I have done good or not.</t>
  </si>
  <si>
    <t>working on wireframe iteration 2</t>
  </si>
  <si>
    <t xml:space="preserve">Wireframe </t>
  </si>
  <si>
    <t>Linkedin</t>
  </si>
  <si>
    <t xml:space="preserve">Watching Usability testing course </t>
  </si>
  <si>
    <t>Linkedin course</t>
  </si>
  <si>
    <t>Study datalab contents which it was about Deeplearning</t>
  </si>
  <si>
    <t>Learning how to do data augmentation on my data and collect more data</t>
  </si>
  <si>
    <t>Data augmentation</t>
  </si>
  <si>
    <t xml:space="preserve">Reading chapter 8 of Deeplearning template </t>
  </si>
  <si>
    <t xml:space="preserve">Datalab task it was about data augmentation and transfer learning </t>
  </si>
  <si>
    <t>Working on  my deep learning template and doing the transfer learning</t>
  </si>
  <si>
    <t>Deep learnig template</t>
  </si>
  <si>
    <t>Transfer learning</t>
  </si>
  <si>
    <t xml:space="preserve">dataset </t>
  </si>
  <si>
    <t>collecting more data set</t>
  </si>
  <si>
    <t>watching Keras course on datacamp</t>
  </si>
  <si>
    <t>Datacamp Keras</t>
  </si>
  <si>
    <t>Studying deep learning with python chapter 3 and 4</t>
  </si>
  <si>
    <t xml:space="preserve">Quiz </t>
  </si>
  <si>
    <t xml:space="preserve">Data lab quiz </t>
  </si>
  <si>
    <t xml:space="preserve">Reading data lab contents </t>
  </si>
  <si>
    <t>Mlp of deep learning</t>
  </si>
  <si>
    <t xml:space="preserve">Reading dat lab contents </t>
  </si>
  <si>
    <t>working on wireframe and start doing on iteration 1</t>
  </si>
  <si>
    <t>Because it was my first time to work with it it takes more time for me to undrestand to how to work with it.</t>
  </si>
  <si>
    <t xml:space="preserve">Datalab contents </t>
  </si>
  <si>
    <t>Data lab contents</t>
  </si>
  <si>
    <t>Undrestanding Neural Network</t>
  </si>
  <si>
    <t xml:space="preserve">Data lab contents </t>
  </si>
  <si>
    <t xml:space="preserve">Working on my template and reading </t>
  </si>
  <si>
    <t>I'm preparing a Socratic dialogue for tomorrow and writing it on A4 pages, divided into five phases.</t>
  </si>
  <si>
    <t>Study book chapters 2 and 3 to understand the material better, and start working on the Deep Learning template.</t>
  </si>
  <si>
    <t>I finished the DataCamp course on Keras. It was very useful and explained the concepts really well, with clear and detailed explanations.</t>
  </si>
  <si>
    <t>Working on my template on iteration 3 and 4 and also checking my template did I have done good or not.</t>
  </si>
  <si>
    <t>I watched the usability testing session and worked on creating my wireframe.</t>
  </si>
  <si>
    <t>I’m working on my deep learning template and adjusting the parameters to improve the model’s accuracy.</t>
  </si>
  <si>
    <t>I started watching YouTube videos to get an introduction to Machine Learning and to learn how to perform error analysis.</t>
  </si>
  <si>
    <t>Starting doing the next iteration of wireframe.</t>
  </si>
  <si>
    <t>I prepared a Microsoft survey for Human-Level Performance (HLP) and shared it with three other students.</t>
  </si>
  <si>
    <t>I’m working on the Deep Learning template and performing error analysis on it.</t>
  </si>
  <si>
    <t xml:space="preserve">Human centered </t>
  </si>
  <si>
    <t>I’m working on the Human-Centered AI template and have started filling it out.</t>
  </si>
  <si>
    <t>Getting feedback from 4 students about my wireframe.</t>
  </si>
  <si>
    <t>Working on Deep learning template and run it for the last time.</t>
  </si>
  <si>
    <t>Based on the feedback I received, I’m making some changes to my wireframe.</t>
  </si>
  <si>
    <t>Data lab task</t>
  </si>
  <si>
    <t>Reading the data lab content</t>
  </si>
  <si>
    <t>XAI Grad cam</t>
  </si>
  <si>
    <t>Fiiling Responsible AI template.</t>
  </si>
  <si>
    <t>Studying Grad cam of XAI of data lab task.</t>
  </si>
  <si>
    <t>Filling the last part of responsible AI template.</t>
  </si>
  <si>
    <t>Doing data lab quiz</t>
  </si>
  <si>
    <t xml:space="preserve">Data lab content </t>
  </si>
  <si>
    <t xml:space="preserve">Preturbation based </t>
  </si>
  <si>
    <t xml:space="preserve">Perturbation Based </t>
  </si>
  <si>
    <t>Applying XAI on my model</t>
  </si>
  <si>
    <t>Applyying XAI on my model</t>
  </si>
  <si>
    <t>Xplique</t>
  </si>
  <si>
    <t>Searching about which library is good for my model and data set</t>
  </si>
  <si>
    <t>A/B test</t>
  </si>
  <si>
    <t>Preparing A/B test from m wireframe</t>
  </si>
  <si>
    <t>Microsoft Survey</t>
  </si>
  <si>
    <t>Preparing survey for quiz</t>
  </si>
  <si>
    <t>A survey</t>
  </si>
  <si>
    <t>Preparing survey for my A/B test and find a good question to see which wireframe is more popular.</t>
  </si>
  <si>
    <t>Doing data lab task and doing A/B test</t>
  </si>
  <si>
    <t>Being pesent in data lab and try to collect 20 response for each survey and doing t test template at the end.</t>
  </si>
  <si>
    <t>Demo Video</t>
  </si>
  <si>
    <t>Making Demo video of wire frame and try to explain it.</t>
  </si>
  <si>
    <t>Recording screen and voice to make a demo video from it.</t>
  </si>
  <si>
    <t xml:space="preserve">Worklog and learning log </t>
  </si>
  <si>
    <t>Try to recheck and fill week 8 and 7</t>
  </si>
  <si>
    <t>Trying to finish learning log and work log.</t>
  </si>
  <si>
    <t>Presentation.</t>
  </si>
  <si>
    <t>preparing the context of presentation.</t>
  </si>
  <si>
    <t>writing the context for presentation and make it smooth.</t>
  </si>
  <si>
    <t>Making slide for the powerpoint.</t>
  </si>
  <si>
    <t xml:space="preserve">Evidencing everything </t>
  </si>
  <si>
    <t>Evidencing everything and make the deliverable folder ready to submit.</t>
  </si>
  <si>
    <t>Power point</t>
  </si>
  <si>
    <t>Speech</t>
  </si>
  <si>
    <t>Demo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</si>
</sst>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6"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u/>
      <sz val="10"/>
      <color theme="10"/>
      <name val="Arial"/>
      <family val="2"/>
    </font>
    <font>
      <sz val="8"/>
      <name val="Arial"/>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3" fillId="0" borderId="0" applyNumberFormat="0" applyFill="0" applyBorder="0" applyAlignment="0" applyProtection="0"/>
  </cellStyleXfs>
  <cellXfs count="75">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10" fillId="0" borderId="0" xfId="0" applyFont="1" applyAlignment="1">
      <alignment horizontal="left" vertical="top"/>
    </xf>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8" fillId="0" borderId="7" xfId="0" applyFont="1" applyBorder="1" applyAlignment="1">
      <alignment horizontal="left" vertical="top"/>
    </xf>
    <xf numFmtId="0" fontId="4" fillId="8" borderId="1" xfId="0" applyFont="1" applyFill="1" applyBorder="1" applyAlignment="1">
      <alignment vertical="center" wrapText="1"/>
    </xf>
    <xf numFmtId="166" fontId="8" fillId="0" borderId="0" xfId="0" applyNumberFormat="1" applyFont="1" applyAlignment="1">
      <alignment horizontal="right" vertical="top"/>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14" borderId="8" xfId="0" applyFont="1" applyFill="1" applyBorder="1" applyAlignment="1">
      <alignment vertical="center" wrapText="1"/>
    </xf>
    <xf numFmtId="0" fontId="4" fillId="14" borderId="9"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13" fillId="0" borderId="0" xfId="1" applyAlignment="1">
      <alignment horizontal="left" vertical="top"/>
    </xf>
    <xf numFmtId="0" fontId="14" fillId="0" borderId="0" xfId="1" applyFont="1" applyAlignment="1">
      <alignment horizontal="left" vertical="top"/>
    </xf>
    <xf numFmtId="0" fontId="13" fillId="0" borderId="0" xfId="1"/>
    <xf numFmtId="0" fontId="7" fillId="14" borderId="3" xfId="0" applyFont="1" applyFill="1" applyBorder="1"/>
    <xf numFmtId="0" fontId="5" fillId="0" borderId="3" xfId="0" applyFont="1" applyBorder="1"/>
    <xf numFmtId="0" fontId="5" fillId="0" borderId="8" xfId="0" applyFont="1" applyBorder="1"/>
    <xf numFmtId="0" fontId="7" fillId="14" borderId="3" xfId="0" applyFont="1" applyFill="1" applyBorder="1" applyAlignment="1">
      <alignment vertical="center"/>
    </xf>
    <xf numFmtId="0" fontId="7" fillId="11" borderId="5" xfId="0" applyFont="1" applyFill="1" applyBorder="1" applyAlignment="1">
      <alignment vertical="center"/>
    </xf>
    <xf numFmtId="0" fontId="5" fillId="0" borderId="2" xfId="0" applyFont="1" applyBorder="1"/>
    <xf numFmtId="0" fontId="5" fillId="0" borderId="6" xfId="0" applyFont="1" applyBorder="1"/>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7" fillId="13" borderId="5" xfId="0" applyFont="1" applyFill="1" applyBorder="1" applyAlignment="1">
      <alignment vertical="center"/>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4" fillId="14" borderId="5" xfId="0" applyFont="1" applyFill="1" applyBorder="1" applyAlignment="1">
      <alignment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4" fillId="3" borderId="3" xfId="0" applyFont="1" applyFill="1" applyBorder="1" applyAlignment="1">
      <alignment horizontal="left" vertical="center" wrapText="1"/>
    </xf>
    <xf numFmtId="0" fontId="7" fillId="3" borderId="5" xfId="0" applyFont="1" applyFill="1" applyBorder="1" applyAlignment="1">
      <alignment vertical="center"/>
    </xf>
    <xf numFmtId="0" fontId="4" fillId="8" borderId="3" xfId="0" applyFont="1" applyFill="1" applyBorder="1" applyAlignment="1">
      <alignment vertical="center" wrapText="1"/>
    </xf>
    <xf numFmtId="0" fontId="5" fillId="7" borderId="0" xfId="0" applyFont="1" applyFill="1" applyAlignment="1">
      <alignment horizontal="center" vertical="center" wrapText="1"/>
    </xf>
    <xf numFmtId="0" fontId="11" fillId="6" borderId="0" xfId="0" applyFont="1" applyFill="1" applyAlignment="1">
      <alignment vertical="top" wrapText="1"/>
    </xf>
    <xf numFmtId="0" fontId="0" fillId="0" borderId="0" xfId="0"/>
  </cellXfs>
  <cellStyles count="2">
    <cellStyle name="Hyperlink" xfId="1" builtinId="8"/>
    <cellStyle name="Normal" xfId="0" builtinId="0"/>
  </cellStyles>
  <dxfs count="11">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redaUniversityADSAI/2024-25c-fai1-adsai-MohammadaliJaberi244437/blob/main/Week%201/Quizzes%20-%20Project%201C%202024-2025%20-%20Week%202%20Monday.pdf" TargetMode="External"/><Relationship Id="rId18" Type="http://schemas.openxmlformats.org/officeDocument/2006/relationships/hyperlink" Target="https://github.com/BredaUniversityADSAI/2024-25c-fai1-adsai-MohammadaliJaberi244437/blob/main/Week%202/certificate.pdf" TargetMode="External"/><Relationship Id="rId26" Type="http://schemas.openxmlformats.org/officeDocument/2006/relationships/hyperlink" Target="https://www.youtube.com/playlist?list=PLkDaE6sCZn6GMoA0wbpJLi3t34Gd8l0aK" TargetMode="External"/><Relationship Id="rId39" Type="http://schemas.openxmlformats.org/officeDocument/2006/relationships/hyperlink" Target="https://github.com/BredaUniversityADSAI/2024-25c-fai1-adsai-MohammadaliJaberi244437/blob/main/Week%205/Quizzes%20-%20Project%201C%202024-2025%20-%20Breda%20University%20of%20Applied%20Sciences%20Thursday.pdf" TargetMode="External"/><Relationship Id="rId21" Type="http://schemas.openxmlformats.org/officeDocument/2006/relationships/hyperlink" Target="https://github.com/BredaUniversityADSAI/2024-25c-fai1-adsai-MohammadaliJaberi244437/blob/main/Week%202/W2%20Friday-DL2-MLP-Student-Notebook%20final.ipynb" TargetMode="External"/><Relationship Id="rId34" Type="http://schemas.openxmlformats.org/officeDocument/2006/relationships/hyperlink" Target="https://github.com/BredaUniversityADSAI/2024-25c-fai1-adsai-MohammadaliJaberi244437/blob/main/Week%205/Quizzes%20-%20Project%201C%202024-2025%20-%20Breda%20University%20of%20Applied%20Sciences%20week%205%20monday.pdf" TargetMode="External"/><Relationship Id="rId42" Type="http://schemas.openxmlformats.org/officeDocument/2006/relationships/hyperlink" Target="https://www.figma.com/design/HYwpD4UfE71QAn0oGkfRd1/Block-C?node-id=0-1&amp;t=NejaluwsDwAIRlaj-1" TargetMode="External"/><Relationship Id="rId47" Type="http://schemas.openxmlformats.org/officeDocument/2006/relationships/hyperlink" Target="https://adsai.buas.nl/Study%20Content/Deep%20Learning/10.%20DataLab%20II%20Convolutional%20Neural%20Networks.html" TargetMode="External"/><Relationship Id="rId50" Type="http://schemas.openxmlformats.org/officeDocument/2006/relationships/hyperlink" Target="https://adsai.buas.nl/Study%20Content/Deep%20Learning/5.%20Understanding%20Neural%20Networks.html" TargetMode="External"/><Relationship Id="rId55" Type="http://schemas.openxmlformats.org/officeDocument/2006/relationships/hyperlink" Target="https://adsai.buas.nl/Study%20Content/Responsible%20AI/10.%20DataLab%20II%20Implementing%20XAI%20for%20Image%20Classification.html" TargetMode="External"/><Relationship Id="rId7" Type="http://schemas.openxmlformats.org/officeDocument/2006/relationships/hyperlink" Target="https://adsai.buas.nl/Study%20Content/Responsible%20AI/1.%20Fairness%20and%20Bias%20-%20Definitions.html" TargetMode="External"/><Relationship Id="rId2" Type="http://schemas.openxmlformats.org/officeDocument/2006/relationships/hyperlink" Target="https://adsai.buas.nl/Study%20Content/Business%20Understanding/1.%20Market%20Research.html" TargetMode="External"/><Relationship Id="rId16" Type="http://schemas.openxmlformats.org/officeDocument/2006/relationships/hyperlink" Target="https://adsai.buas.nl/Study%20Content/Responsible%20AI/5.%20Socratic%20Dialogue%20Preparation.html" TargetMode="External"/><Relationship Id="rId29" Type="http://schemas.openxmlformats.org/officeDocument/2006/relationships/hyperlink" Target="https://adsai.buas.nl/Study%20Content/Human-Centered%20Artificial%20Intelligence/5.%20Preparing%20for%20Think-Aloud%20Study.html" TargetMode="External"/><Relationship Id="rId11" Type="http://schemas.openxmlformats.org/officeDocument/2006/relationships/hyperlink" Target="https://github.com/BredaUniversityADSAI/2024-25c-fai1-adsai-MohammadaliJaberi244437/blob/main/Week%201/W1-DL2-Generating-Image-Dataset%20(Mohammadali)%20Finalll%20week%201%20Friday.ipynb" TargetMode="External"/><Relationship Id="rId24" Type="http://schemas.openxmlformats.org/officeDocument/2006/relationships/hyperlink" Target="https://web.archive.org/web/20241119093447/https:/christophm.github.io/interpretable-ml-book/" TargetMode="External"/><Relationship Id="rId32" Type="http://schemas.openxmlformats.org/officeDocument/2006/relationships/hyperlink" Target="https://adsai.buas.nl/Study%20Content/Human-Centered%20Artificial%20Intelligence/6.%20DataLab%20II%20-%20Think-aloud%20study.html" TargetMode="External"/><Relationship Id="rId37" Type="http://schemas.openxmlformats.org/officeDocument/2006/relationships/hyperlink" Target="https://adsai.buas.nl/Study%20Content/Deep%20Learning/13.%20Machine%20Learning%20Project%20Lifecycle%20II.html" TargetMode="External"/><Relationship Id="rId40" Type="http://schemas.openxmlformats.org/officeDocument/2006/relationships/hyperlink" Target="https://github.com/BredaUniversityADSAI/2024-25c-fai1-adsai-MohammadaliJaberi244437/blob/main/Deep-Learning-Template%20Mohammadali%20Finall%20(Ready%20to%20submit).ipynb" TargetMode="External"/><Relationship Id="rId45" Type="http://schemas.openxmlformats.org/officeDocument/2006/relationships/hyperlink" Target="https://github.com/BredaUniversityADSAI/2024-25c-fai1-adsai-MohammadaliJaberi244437/blob/main/Deep-Learning-Template%20Mohammadali%20Finall%20(Ready%20to%20submit).ipynb" TargetMode="External"/><Relationship Id="rId53" Type="http://schemas.openxmlformats.org/officeDocument/2006/relationships/hyperlink" Target="https://github.com/BredaUniversityADSAI/2024-25c-fai1-adsai-MohammadaliJaberi244437/blob/main/Block%20C%20final%20templates/Responsible-AI-Template.ipynb" TargetMode="External"/><Relationship Id="rId58" Type="http://schemas.openxmlformats.org/officeDocument/2006/relationships/hyperlink" Target="https://github.com/BredaUniversityADSAI/2024-25c-fai1-adsai-MohammadaliJaberi244437/blob/main/Presentation.pptx" TargetMode="External"/><Relationship Id="rId5" Type="http://schemas.openxmlformats.org/officeDocument/2006/relationships/hyperlink" Target="https://adsai.buas.nl/Study%20Content/Human-Centered%20Artificial%20Intelligence/1.%20Introduction%20to%20Human-Centered%20AI.html" TargetMode="External"/><Relationship Id="rId19" Type="http://schemas.openxmlformats.org/officeDocument/2006/relationships/hyperlink" Target="https://github.com/BredaUniversityADSAI/2024-25c-fai1-adsai-MohammadaliJaberi244437/blob/main/Week%202/Socratic%20Dialogue%20Preparation%20(2).pdf" TargetMode="External"/><Relationship Id="rId4" Type="http://schemas.openxmlformats.org/officeDocument/2006/relationships/hyperlink" Target="https://github.com/BredaUniversityADSAI/2024-25c-fai1-adsai-MohammadaliJaberi244437/blob/main/Week%201/Business-Understanding-Template%20(3).docx" TargetMode="External"/><Relationship Id="rId9" Type="http://schemas.openxmlformats.org/officeDocument/2006/relationships/hyperlink" Target="https://adsai.buas.nl/Study%20Content/Responsible%20AI/2.%20DataLab%20II%20Image%20Dataset%20&amp;%20Bias%20Analysis.html" TargetMode="External"/><Relationship Id="rId14" Type="http://schemas.openxmlformats.org/officeDocument/2006/relationships/hyperlink" Target="https://github.com/BredaUniversityADSAI/2024-25c-fai1-adsai-MohammadaliJaberi244437/blob/main/Tuesday%20week%202%20Lecture/WhatsApp%20Image%202025-02-20%20at%2020.53.37_ad058124.jpg" TargetMode="External"/><Relationship Id="rId22" Type="http://schemas.openxmlformats.org/officeDocument/2006/relationships/hyperlink" Target="https://adsai.buas.nl/Study%20Content/Responsible%20AI/6.%20Transparency%20and%20Interpretability%20-%20Definitions.html" TargetMode="External"/><Relationship Id="rId27" Type="http://schemas.openxmlformats.org/officeDocument/2006/relationships/hyperlink" Target="https://github.com/BredaUniversityADSAI/2024-25c-fai1-adsai-MohammadaliJaberi244437/blob/main/CertificateOfCompletion_Managing%20Your%20Anxiety%20While%20Presenting%20(2).pdf" TargetMode="External"/><Relationship Id="rId30" Type="http://schemas.openxmlformats.org/officeDocument/2006/relationships/hyperlink" Target="https://www.figma.com/design/HYwpD4UfE71QAn0oGkfRd1/Block-C?node-id=0-1&amp;t=Qs5CaJvJEy60nCVg-1" TargetMode="External"/><Relationship Id="rId35" Type="http://schemas.openxmlformats.org/officeDocument/2006/relationships/hyperlink" Target="https://forms.office.com/Pages/DesignPageV2.aspx?prevorigin=Marketing&amp;origin=NeoPortalPage&amp;subpage=design&amp;id=m1gzCjYA6E-oKT7Qkmr4hiebrLTdZ9lMnHcrnfQI7ipUOUtPVFgxM0JBUklUS0VVUjNHTlFRSjc5OC4u&amp;analysis=true" TargetMode="External"/><Relationship Id="rId43" Type="http://schemas.openxmlformats.org/officeDocument/2006/relationships/hyperlink" Target="https://www.linkedin.com/learning/ux-foundations-usability-testing/usability-testing?u=36359204" TargetMode="External"/><Relationship Id="rId48" Type="http://schemas.openxmlformats.org/officeDocument/2006/relationships/hyperlink" Target="https://github.com/BredaUniversityADSAI/2024-25c-fai1-adsai-MohammadaliJaberi244437/blob/main/certificate%20(Keras).pdf" TargetMode="External"/><Relationship Id="rId56" Type="http://schemas.openxmlformats.org/officeDocument/2006/relationships/hyperlink" Target="https://adsai.buas.nl/Study%20Content/Human-Centered%20Artificial%20Intelligence/7.%20Preparing%20for%20AB%20testing.html" TargetMode="External"/><Relationship Id="rId8" Type="http://schemas.openxmlformats.org/officeDocument/2006/relationships/hyperlink" Target="https://github.com/BredaUniversityADSAI/2024-25c-fai1-adsai-MohammadaliJaberi244437/blob/main/Week%201/Quizzes%20-%20Project%201C%202024-2025%20-%20Thursday.pdf" TargetMode="External"/><Relationship Id="rId51" Type="http://schemas.openxmlformats.org/officeDocument/2006/relationships/hyperlink" Target="https://github.com/BredaUniversityADSAI/2024-25c-fai1-adsai-MohammadaliJaberi244437/blob/main/Block%20C%20final%20templates/Human-Centered-AI-Template.docx" TargetMode="External"/><Relationship Id="rId3" Type="http://schemas.openxmlformats.org/officeDocument/2006/relationships/hyperlink" Target="https://github.com/BredaUniversityADSAI/2024-25c-fai1-adsai-MohammadaliJaberi244437/blob/main/Week%201/Business-Understanding-Template%20(3).docx" TargetMode="External"/><Relationship Id="rId12" Type="http://schemas.openxmlformats.org/officeDocument/2006/relationships/hyperlink" Target="https://adsai.buas.nl/Study%20Content/Responsible%20AI/3.%20Fairness%20and%20Bias%20Individual%20Fairness%20vs.%20Group%20Fairness.html" TargetMode="External"/><Relationship Id="rId17" Type="http://schemas.openxmlformats.org/officeDocument/2006/relationships/hyperlink" Target="https://github.com/BredaUniversityADSAI/2024-25c-fai1-adsai-MohammadaliJaberi244437/blob/main/Week%202/W2%20Friday-DL2-MLP-Student-Notebook%20final.ipynb" TargetMode="External"/><Relationship Id="rId25" Type="http://schemas.openxmlformats.org/officeDocument/2006/relationships/hyperlink" Target="https://adsai.buas.nl/Study%20Content/Deep%20Learning/16.%20Machine%20Learning%20Project%20Lifecycle%20III.html" TargetMode="External"/><Relationship Id="rId33" Type="http://schemas.openxmlformats.org/officeDocument/2006/relationships/hyperlink" Target="https://youtube.com/playlist?list=PLkDaE6sCZn6GMoA0wbpJLi3t34Gd8l0aK" TargetMode="External"/><Relationship Id="rId38" Type="http://schemas.openxmlformats.org/officeDocument/2006/relationships/hyperlink" Target="https://github.com/BredaUniversityADSAI/2024-25c-fai1-adsai-MohammadaliJaberi244437/blob/main/Week%205/Quizzes%20-%20Project%201C%202024-2025%20-%20Breda%20University%20of%20Applied%20Sciences.pdf" TargetMode="External"/><Relationship Id="rId46" Type="http://schemas.openxmlformats.org/officeDocument/2006/relationships/hyperlink" Target="https://github.com/BredaUniversityADSAI/2024-25c-fai1-adsai-MohammadaliJaberi244437/blob/main/Deep-Learning-Template%20Mohammadali%20Finall%20(Ready%20to%20submit).ipynb" TargetMode="External"/><Relationship Id="rId59" Type="http://schemas.openxmlformats.org/officeDocument/2006/relationships/hyperlink" Target="https://github.com/BredaUniversityADSAI/2024-25c-fai1-adsai-MohammadaliJaberi244437/blob/main/Final%20presentation.pdf" TargetMode="External"/><Relationship Id="rId20" Type="http://schemas.openxmlformats.org/officeDocument/2006/relationships/hyperlink" Target="https://github.com/BredaUniversityADSAI/2024-25c-fai1-adsai-MohammadaliJaberi244437/blob/main/Week%201/Quizzes%20-%20Project%201C%202024-2025%20-%20Week%202%20Thursday.pdf" TargetMode="External"/><Relationship Id="rId41" Type="http://schemas.openxmlformats.org/officeDocument/2006/relationships/hyperlink" Target="https://adsai.buas.nl/Study%20Content/Deep%20Learning/7.%20Introduction%20to%20Convolutional%20Neural%20Networks.html" TargetMode="External"/><Relationship Id="rId54" Type="http://schemas.openxmlformats.org/officeDocument/2006/relationships/hyperlink" Target="https://adsai.buas.nl/Study%20Content/Responsible%20AI/9.%20Methods%20II%20Perturbation%20Based.html" TargetMode="External"/><Relationship Id="rId1" Type="http://schemas.openxmlformats.org/officeDocument/2006/relationships/hyperlink" Target="https://adsai.buas.nl/Year1/BlockC/" TargetMode="External"/><Relationship Id="rId6" Type="http://schemas.openxmlformats.org/officeDocument/2006/relationships/hyperlink" Target="https://github.com/BredaUniversityADSAI/2024-25c-fai1-adsai-MohammadaliJaberi244437/blob/main/Week%201/Quizzes%20-%20Project%201C%202024-2025%20-%20Wednesday.pdf" TargetMode="External"/><Relationship Id="rId15" Type="http://schemas.openxmlformats.org/officeDocument/2006/relationships/hyperlink" Target="https://github.com/BredaUniversityADSAI/2024-25c-fai1-adsai-MohammadaliJaberi244437/blob/main/Tuesday%20week%202%20Lecture/WhatsApp%20Image%202025-02-20%20at%2020.53.37_1ebaa5ea.jpg" TargetMode="External"/><Relationship Id="rId23" Type="http://schemas.openxmlformats.org/officeDocument/2006/relationships/hyperlink" Target="https://youtu.be/6xePkn3-LME" TargetMode="External"/><Relationship Id="rId28" Type="http://schemas.openxmlformats.org/officeDocument/2006/relationships/hyperlink" Target="https://github.com/BredaUniversityADSAI/2024-25c-fai1-adsai-MohammadaliJaberi244437/blob/main/Responsible-AI-Template.ipynb" TargetMode="External"/><Relationship Id="rId36" Type="http://schemas.openxmlformats.org/officeDocument/2006/relationships/hyperlink" Target="https://github.com/BredaUniversityADSAI/2024-25c-fai1-adsai-MohammadaliJaberi244437/blob/main/Deep-Learning-Template%20Mohammadali%20Finall%20(Ready%20to%20submit).ipynb" TargetMode="External"/><Relationship Id="rId49" Type="http://schemas.openxmlformats.org/officeDocument/2006/relationships/hyperlink" Target="https://www.figma.com/design/HYwpD4UfE71QAn0oGkfRd1/Block-C?node-id=0-1&amp;t=NejaluwsDwAIRlaj-1" TargetMode="External"/><Relationship Id="rId57" Type="http://schemas.openxmlformats.org/officeDocument/2006/relationships/hyperlink" Target="https://forms.office.com/Pages/DesignPageV2.aspx?prevorigin=Marketing&amp;origin=NeoPortalPage&amp;subpage=design&amp;id=m1gzCjYA6E-oKT7Qkmr4hiebrLTdZ9lMnHcrnfQI7ipUMDRGSkdRM1lOR1hXRkQ1MTJNM08xSkk1Wi4u" TargetMode="External"/><Relationship Id="rId10" Type="http://schemas.openxmlformats.org/officeDocument/2006/relationships/hyperlink" Target="https://github.com/BredaUniversityADSAI/2024-25c-fai1-adsai-MohammadaliJaberi244437/tree/main/Week%201/dataset" TargetMode="External"/><Relationship Id="rId31" Type="http://schemas.openxmlformats.org/officeDocument/2006/relationships/hyperlink" Target="https://github.com/BredaUniversityADSAI/2024-25c-fai1-adsai-MohammadaliJaberi244437/blob/main/Human-Centered-AI-Template.docx" TargetMode="External"/><Relationship Id="rId44" Type="http://schemas.openxmlformats.org/officeDocument/2006/relationships/hyperlink" Target="https://adsai.buas.nl/Study%20Content/Deep%20Learning/9.%20Working%20with%20Small%20Datasets.html" TargetMode="External"/><Relationship Id="rId52" Type="http://schemas.openxmlformats.org/officeDocument/2006/relationships/hyperlink" Target="https://adsai.buas.nl/Study%20Content/Responsible%20AI/8.%20Methods%20I%20Gradient%20Based.html" TargetMode="External"/><Relationship Id="rId60" Type="http://schemas.openxmlformats.org/officeDocument/2006/relationships/hyperlink" Target="https://github.com/BredaUniversityADSAI/2024-25c-fai1-adsai-MohammadaliJaberi244437/blob/main/Recording%202025-04-11%20075351.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27"/>
  <sheetViews>
    <sheetView tabSelected="1" topLeftCell="C1" zoomScale="119" zoomScaleNormal="120" workbookViewId="0">
      <pane ySplit="1" topLeftCell="A2" activePane="bottomLeft" state="frozen"/>
      <selection pane="bottomLeft" activeCell="J122" sqref="J122"/>
    </sheetView>
  </sheetViews>
  <sheetFormatPr defaultColWidth="14.44140625" defaultRowHeight="15" customHeight="1" x14ac:dyDescent="0.25"/>
  <cols>
    <col min="1" max="1" width="9.777343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81.33203125" customWidth="1"/>
  </cols>
  <sheetData>
    <row r="1" spans="1:11" ht="24" x14ac:dyDescent="0.25">
      <c r="A1" s="3" t="s">
        <v>0</v>
      </c>
      <c r="B1" s="3" t="s">
        <v>1</v>
      </c>
      <c r="C1" s="3" t="s">
        <v>2</v>
      </c>
      <c r="D1" s="3" t="s">
        <v>3</v>
      </c>
      <c r="E1" s="5" t="s">
        <v>4</v>
      </c>
      <c r="F1" s="5" t="s">
        <v>5</v>
      </c>
      <c r="G1" s="5" t="s">
        <v>6</v>
      </c>
      <c r="H1" s="5" t="s">
        <v>7</v>
      </c>
      <c r="I1" s="5" t="s">
        <v>8</v>
      </c>
      <c r="J1" s="5" t="s">
        <v>9</v>
      </c>
      <c r="K1" s="3" t="s">
        <v>10</v>
      </c>
    </row>
    <row r="2" spans="1:11" ht="18.75" customHeight="1" x14ac:dyDescent="0.25">
      <c r="A2" s="69" t="s">
        <v>11</v>
      </c>
      <c r="B2" s="52"/>
      <c r="C2" s="52"/>
      <c r="D2" s="52"/>
      <c r="E2" s="52"/>
      <c r="F2" s="52"/>
      <c r="G2" s="52"/>
      <c r="H2" s="52"/>
      <c r="I2" s="52"/>
      <c r="J2" s="52"/>
      <c r="K2" s="52"/>
    </row>
    <row r="3" spans="1:11" ht="13.2" x14ac:dyDescent="0.25">
      <c r="A3" s="7" t="s">
        <v>12</v>
      </c>
      <c r="B3" s="70" t="s">
        <v>13</v>
      </c>
      <c r="C3" s="56"/>
      <c r="D3" s="56"/>
      <c r="E3" s="56"/>
      <c r="F3" s="56"/>
      <c r="G3" s="56"/>
      <c r="H3" s="56"/>
      <c r="I3" s="56"/>
      <c r="J3" s="56"/>
      <c r="K3" s="57"/>
    </row>
    <row r="4" spans="1:11" ht="27.75" customHeight="1" x14ac:dyDescent="0.25">
      <c r="A4" s="10" t="s">
        <v>14</v>
      </c>
      <c r="B4" s="70" t="s">
        <v>15</v>
      </c>
      <c r="C4" s="56"/>
      <c r="D4" s="56"/>
      <c r="E4" s="56"/>
      <c r="F4" s="56"/>
      <c r="G4" s="56"/>
      <c r="H4" s="56"/>
      <c r="I4" s="56"/>
      <c r="J4" s="56"/>
      <c r="K4" s="57"/>
    </row>
    <row r="5" spans="1:11" ht="13.2" x14ac:dyDescent="0.25">
      <c r="A5" s="33">
        <v>45698</v>
      </c>
      <c r="B5" s="28" t="s">
        <v>50</v>
      </c>
      <c r="C5" s="12" t="s">
        <v>70</v>
      </c>
      <c r="D5" s="28" t="s">
        <v>71</v>
      </c>
      <c r="E5" s="13" t="s">
        <v>59</v>
      </c>
      <c r="F5" s="13" t="s">
        <v>63</v>
      </c>
      <c r="G5" s="30">
        <v>2</v>
      </c>
      <c r="H5" s="30">
        <v>2</v>
      </c>
      <c r="I5" s="30">
        <f t="shared" ref="I5:I17" si="0">H5-G5</f>
        <v>0</v>
      </c>
      <c r="J5" s="48" t="s">
        <v>75</v>
      </c>
      <c r="K5" s="28" t="s">
        <v>76</v>
      </c>
    </row>
    <row r="6" spans="1:11" ht="13.2" x14ac:dyDescent="0.25">
      <c r="A6" s="33">
        <v>45698</v>
      </c>
      <c r="B6" s="28" t="s">
        <v>50</v>
      </c>
      <c r="C6" s="12" t="s">
        <v>72</v>
      </c>
      <c r="D6" s="28" t="s">
        <v>73</v>
      </c>
      <c r="E6" s="13" t="s">
        <v>59</v>
      </c>
      <c r="F6" s="13" t="s">
        <v>63</v>
      </c>
      <c r="G6" s="30">
        <v>3</v>
      </c>
      <c r="H6" s="30">
        <v>3</v>
      </c>
      <c r="I6" s="30">
        <f t="shared" si="0"/>
        <v>0</v>
      </c>
      <c r="J6" s="48" t="s">
        <v>77</v>
      </c>
      <c r="K6" s="16"/>
    </row>
    <row r="7" spans="1:11" ht="13.2" x14ac:dyDescent="0.25">
      <c r="A7" s="33">
        <v>45699</v>
      </c>
      <c r="B7" s="28" t="s">
        <v>50</v>
      </c>
      <c r="C7" s="12" t="s">
        <v>80</v>
      </c>
      <c r="D7" s="28" t="s">
        <v>74</v>
      </c>
      <c r="E7" s="13" t="s">
        <v>49</v>
      </c>
      <c r="F7" s="13" t="s">
        <v>63</v>
      </c>
      <c r="G7" s="30">
        <v>2</v>
      </c>
      <c r="H7" s="30">
        <v>2</v>
      </c>
      <c r="I7" s="30">
        <f t="shared" si="0"/>
        <v>0</v>
      </c>
      <c r="J7" s="48" t="s">
        <v>79</v>
      </c>
      <c r="K7" s="16" t="s">
        <v>78</v>
      </c>
    </row>
    <row r="8" spans="1:11" ht="13.2" x14ac:dyDescent="0.25">
      <c r="A8" s="33">
        <v>45699</v>
      </c>
      <c r="B8" s="28" t="s">
        <v>50</v>
      </c>
      <c r="C8" s="12" t="s">
        <v>81</v>
      </c>
      <c r="D8" s="28" t="s">
        <v>82</v>
      </c>
      <c r="E8" s="13" t="s">
        <v>58</v>
      </c>
      <c r="F8" s="13" t="s">
        <v>41</v>
      </c>
      <c r="G8" s="30">
        <v>3</v>
      </c>
      <c r="H8" s="30">
        <v>3</v>
      </c>
      <c r="I8" s="30">
        <f t="shared" si="0"/>
        <v>0</v>
      </c>
      <c r="J8" s="14"/>
      <c r="K8" s="16"/>
    </row>
    <row r="9" spans="1:11" ht="13.2" x14ac:dyDescent="0.25">
      <c r="A9" s="33">
        <v>45699</v>
      </c>
      <c r="B9" s="28" t="s">
        <v>50</v>
      </c>
      <c r="C9" s="12" t="s">
        <v>80</v>
      </c>
      <c r="D9" s="28" t="s">
        <v>83</v>
      </c>
      <c r="E9" s="13" t="s">
        <v>49</v>
      </c>
      <c r="F9" s="13" t="s">
        <v>63</v>
      </c>
      <c r="G9" s="30">
        <v>3</v>
      </c>
      <c r="H9" s="30">
        <v>3</v>
      </c>
      <c r="I9" s="30">
        <f t="shared" si="0"/>
        <v>0</v>
      </c>
      <c r="J9" s="48" t="s">
        <v>80</v>
      </c>
      <c r="K9" s="16" t="s">
        <v>84</v>
      </c>
    </row>
    <row r="10" spans="1:11" ht="13.2" x14ac:dyDescent="0.25">
      <c r="A10" s="33">
        <v>45700</v>
      </c>
      <c r="B10" s="28" t="s">
        <v>50</v>
      </c>
      <c r="C10" s="12" t="s">
        <v>72</v>
      </c>
      <c r="D10" s="28" t="s">
        <v>73</v>
      </c>
      <c r="E10" s="13" t="s">
        <v>59</v>
      </c>
      <c r="F10" s="13" t="s">
        <v>63</v>
      </c>
      <c r="G10" s="30">
        <v>3</v>
      </c>
      <c r="H10" s="30">
        <v>3</v>
      </c>
      <c r="I10" s="30">
        <f t="shared" si="0"/>
        <v>0</v>
      </c>
      <c r="J10" s="48" t="s">
        <v>85</v>
      </c>
      <c r="K10" s="16"/>
    </row>
    <row r="11" spans="1:11" ht="13.2" x14ac:dyDescent="0.25">
      <c r="A11" s="33">
        <v>45700</v>
      </c>
      <c r="B11" s="28" t="s">
        <v>50</v>
      </c>
      <c r="C11" s="12" t="s">
        <v>86</v>
      </c>
      <c r="D11" s="28" t="s">
        <v>87</v>
      </c>
      <c r="E11" s="13" t="s">
        <v>51</v>
      </c>
      <c r="F11" s="13" t="s">
        <v>63</v>
      </c>
      <c r="G11" s="30">
        <v>1</v>
      </c>
      <c r="H11" s="30">
        <v>1</v>
      </c>
      <c r="I11" s="30">
        <f t="shared" si="0"/>
        <v>0</v>
      </c>
      <c r="J11" s="48" t="s">
        <v>88</v>
      </c>
      <c r="K11" s="16"/>
    </row>
    <row r="12" spans="1:11" ht="13.2" x14ac:dyDescent="0.25">
      <c r="A12" s="33">
        <v>45701</v>
      </c>
      <c r="B12" s="28" t="s">
        <v>50</v>
      </c>
      <c r="C12" s="12" t="s">
        <v>72</v>
      </c>
      <c r="D12" s="28" t="s">
        <v>89</v>
      </c>
      <c r="E12" s="13" t="s">
        <v>59</v>
      </c>
      <c r="F12" s="13" t="s">
        <v>63</v>
      </c>
      <c r="G12" s="30">
        <v>3</v>
      </c>
      <c r="H12" s="30">
        <v>3</v>
      </c>
      <c r="I12" s="30">
        <f t="shared" si="0"/>
        <v>0</v>
      </c>
      <c r="J12" s="48" t="s">
        <v>90</v>
      </c>
      <c r="K12" s="16" t="s">
        <v>91</v>
      </c>
    </row>
    <row r="13" spans="1:11" ht="13.2" x14ac:dyDescent="0.25">
      <c r="A13" s="33">
        <v>45701</v>
      </c>
      <c r="B13" s="28" t="s">
        <v>50</v>
      </c>
      <c r="C13" s="12" t="s">
        <v>92</v>
      </c>
      <c r="D13" s="28" t="s">
        <v>93</v>
      </c>
      <c r="E13" s="13" t="s">
        <v>51</v>
      </c>
      <c r="F13" s="13" t="s">
        <v>63</v>
      </c>
      <c r="G13" s="30">
        <v>2</v>
      </c>
      <c r="H13" s="30">
        <v>2</v>
      </c>
      <c r="I13" s="30">
        <f t="shared" si="0"/>
        <v>0</v>
      </c>
      <c r="J13" s="48" t="s">
        <v>92</v>
      </c>
      <c r="K13" s="16"/>
    </row>
    <row r="14" spans="1:11" ht="13.2" x14ac:dyDescent="0.25">
      <c r="A14" s="33">
        <v>45702</v>
      </c>
      <c r="B14" s="28" t="s">
        <v>50</v>
      </c>
      <c r="C14" s="12" t="s">
        <v>94</v>
      </c>
      <c r="D14" s="28" t="s">
        <v>95</v>
      </c>
      <c r="E14" s="13" t="s">
        <v>49</v>
      </c>
      <c r="F14" s="13" t="s">
        <v>63</v>
      </c>
      <c r="G14" s="30">
        <v>3</v>
      </c>
      <c r="H14" s="30">
        <v>3</v>
      </c>
      <c r="I14" s="30">
        <f t="shared" si="0"/>
        <v>0</v>
      </c>
      <c r="J14" s="48" t="s">
        <v>96</v>
      </c>
      <c r="K14" s="16" t="s">
        <v>97</v>
      </c>
    </row>
    <row r="15" spans="1:11" ht="13.2" x14ac:dyDescent="0.25">
      <c r="A15" s="33">
        <v>45703</v>
      </c>
      <c r="B15" s="28" t="s">
        <v>50</v>
      </c>
      <c r="C15" s="12" t="s">
        <v>96</v>
      </c>
      <c r="D15" s="28" t="s">
        <v>96</v>
      </c>
      <c r="E15" s="13" t="s">
        <v>49</v>
      </c>
      <c r="F15" s="13" t="s">
        <v>63</v>
      </c>
      <c r="G15" s="30">
        <v>4</v>
      </c>
      <c r="H15" s="30">
        <v>4</v>
      </c>
      <c r="I15" s="30">
        <f t="shared" si="0"/>
        <v>0</v>
      </c>
      <c r="J15" s="48" t="s">
        <v>100</v>
      </c>
      <c r="K15" s="16" t="s">
        <v>98</v>
      </c>
    </row>
    <row r="16" spans="1:11" ht="13.2" x14ac:dyDescent="0.25">
      <c r="A16" s="33">
        <v>45704</v>
      </c>
      <c r="B16" s="28" t="s">
        <v>50</v>
      </c>
      <c r="C16" s="12" t="s">
        <v>96</v>
      </c>
      <c r="D16" s="28" t="s">
        <v>96</v>
      </c>
      <c r="E16" s="13" t="s">
        <v>49</v>
      </c>
      <c r="F16" s="13" t="s">
        <v>63</v>
      </c>
      <c r="G16" s="30">
        <v>4</v>
      </c>
      <c r="H16" s="30">
        <v>4</v>
      </c>
      <c r="I16" s="30">
        <f t="shared" si="0"/>
        <v>0</v>
      </c>
      <c r="J16" s="48" t="s">
        <v>99</v>
      </c>
      <c r="K16" s="16"/>
    </row>
    <row r="17" spans="1:11" ht="13.2" x14ac:dyDescent="0.25">
      <c r="A17" s="19"/>
      <c r="B17" s="21"/>
      <c r="C17" s="21"/>
      <c r="D17" s="21"/>
      <c r="E17" s="21" t="s">
        <v>17</v>
      </c>
      <c r="F17" s="21"/>
      <c r="G17" s="24">
        <f t="shared" ref="G17:H17" si="1">SUM(G5:G16)</f>
        <v>33</v>
      </c>
      <c r="H17" s="24">
        <f t="shared" si="1"/>
        <v>33</v>
      </c>
      <c r="I17" s="24">
        <f t="shared" si="0"/>
        <v>0</v>
      </c>
      <c r="J17" s="25"/>
      <c r="K17" s="21"/>
    </row>
    <row r="18" spans="1:11" ht="18.75" customHeight="1" x14ac:dyDescent="0.25">
      <c r="A18" s="71" t="s">
        <v>18</v>
      </c>
      <c r="B18" s="52"/>
      <c r="C18" s="52"/>
      <c r="D18" s="52"/>
      <c r="E18" s="52"/>
      <c r="F18" s="52"/>
      <c r="G18" s="52"/>
      <c r="H18" s="52"/>
      <c r="I18" s="52"/>
      <c r="J18" s="52"/>
      <c r="K18" s="52"/>
    </row>
    <row r="19" spans="1:11" ht="13.2" x14ac:dyDescent="0.25">
      <c r="A19" s="47" t="s">
        <v>12</v>
      </c>
      <c r="B19" s="65" t="s">
        <v>13</v>
      </c>
      <c r="C19" s="56"/>
      <c r="D19" s="56"/>
      <c r="E19" s="56"/>
      <c r="F19" s="56"/>
      <c r="G19" s="56"/>
      <c r="H19" s="56"/>
      <c r="I19" s="56"/>
      <c r="J19" s="56"/>
      <c r="K19" s="57"/>
    </row>
    <row r="20" spans="1:11" ht="27.75" customHeight="1" x14ac:dyDescent="0.25">
      <c r="A20" s="26" t="s">
        <v>14</v>
      </c>
      <c r="B20" s="65" t="s">
        <v>19</v>
      </c>
      <c r="C20" s="56"/>
      <c r="D20" s="56"/>
      <c r="E20" s="56"/>
      <c r="F20" s="56"/>
      <c r="G20" s="56"/>
      <c r="H20" s="56"/>
      <c r="I20" s="56"/>
      <c r="J20" s="56"/>
      <c r="K20" s="57"/>
    </row>
    <row r="21" spans="1:11" ht="13.2" x14ac:dyDescent="0.25">
      <c r="A21" s="27">
        <v>45705</v>
      </c>
      <c r="B21" s="28" t="s">
        <v>50</v>
      </c>
      <c r="C21" s="12" t="s">
        <v>72</v>
      </c>
      <c r="D21" s="28" t="s">
        <v>73</v>
      </c>
      <c r="E21" s="13" t="s">
        <v>59</v>
      </c>
      <c r="F21" s="13" t="s">
        <v>63</v>
      </c>
      <c r="G21" s="30">
        <v>4</v>
      </c>
      <c r="H21" s="30">
        <v>5</v>
      </c>
      <c r="I21" s="30">
        <f t="shared" ref="I21:I35" si="2">H21-G21</f>
        <v>1</v>
      </c>
      <c r="J21" s="48" t="s">
        <v>101</v>
      </c>
      <c r="K21" s="28" t="s">
        <v>102</v>
      </c>
    </row>
    <row r="22" spans="1:11" ht="13.2" x14ac:dyDescent="0.25">
      <c r="A22" s="27">
        <v>45705</v>
      </c>
      <c r="B22" s="28" t="s">
        <v>50</v>
      </c>
      <c r="C22" s="12" t="s">
        <v>103</v>
      </c>
      <c r="D22" s="28" t="s">
        <v>104</v>
      </c>
      <c r="E22" s="13" t="s">
        <v>51</v>
      </c>
      <c r="F22" s="13" t="s">
        <v>63</v>
      </c>
      <c r="G22" s="30">
        <v>1</v>
      </c>
      <c r="H22" s="30">
        <v>1</v>
      </c>
      <c r="I22" s="30">
        <f t="shared" si="2"/>
        <v>0</v>
      </c>
      <c r="J22" s="48" t="s">
        <v>105</v>
      </c>
      <c r="K22" s="28"/>
    </row>
    <row r="23" spans="1:11" ht="13.2" x14ac:dyDescent="0.25">
      <c r="A23" s="27">
        <v>45706</v>
      </c>
      <c r="B23" s="28" t="s">
        <v>50</v>
      </c>
      <c r="C23" s="12" t="s">
        <v>58</v>
      </c>
      <c r="D23" s="28" t="s">
        <v>106</v>
      </c>
      <c r="E23" s="13" t="s">
        <v>58</v>
      </c>
      <c r="F23" s="13" t="s">
        <v>64</v>
      </c>
      <c r="G23" s="30">
        <v>1.5</v>
      </c>
      <c r="H23" s="30">
        <v>1.5</v>
      </c>
      <c r="I23" s="30">
        <f t="shared" si="2"/>
        <v>0</v>
      </c>
      <c r="J23" s="48" t="s">
        <v>108</v>
      </c>
      <c r="K23" s="28"/>
    </row>
    <row r="24" spans="1:11" ht="13.2" x14ac:dyDescent="0.25">
      <c r="A24" s="27">
        <v>45706</v>
      </c>
      <c r="B24" s="28" t="s">
        <v>50</v>
      </c>
      <c r="C24" s="12" t="s">
        <v>107</v>
      </c>
      <c r="D24" s="28" t="s">
        <v>106</v>
      </c>
      <c r="E24" s="13" t="s">
        <v>58</v>
      </c>
      <c r="F24" s="13" t="s">
        <v>64</v>
      </c>
      <c r="G24" s="30">
        <v>1</v>
      </c>
      <c r="H24" s="30">
        <v>1</v>
      </c>
      <c r="I24" s="30">
        <f t="shared" si="2"/>
        <v>0</v>
      </c>
      <c r="J24" s="48" t="s">
        <v>107</v>
      </c>
      <c r="K24" s="28"/>
    </row>
    <row r="25" spans="1:11" ht="13.2" x14ac:dyDescent="0.25">
      <c r="A25" s="27">
        <v>45706</v>
      </c>
      <c r="B25" s="28" t="s">
        <v>50</v>
      </c>
      <c r="C25" s="12" t="s">
        <v>109</v>
      </c>
      <c r="D25" s="28" t="s">
        <v>110</v>
      </c>
      <c r="E25" s="13" t="s">
        <v>51</v>
      </c>
      <c r="F25" s="13" t="s">
        <v>64</v>
      </c>
      <c r="G25" s="30">
        <v>4</v>
      </c>
      <c r="H25" s="30">
        <v>4</v>
      </c>
      <c r="I25" s="30">
        <f t="shared" si="2"/>
        <v>0</v>
      </c>
      <c r="J25" s="29"/>
      <c r="K25" s="28"/>
    </row>
    <row r="26" spans="1:11" ht="13.2" x14ac:dyDescent="0.25">
      <c r="A26" s="27">
        <v>45707</v>
      </c>
      <c r="B26" s="28" t="s">
        <v>50</v>
      </c>
      <c r="C26" s="12" t="s">
        <v>72</v>
      </c>
      <c r="D26" s="28" t="s">
        <v>111</v>
      </c>
      <c r="E26" s="13" t="s">
        <v>59</v>
      </c>
      <c r="F26" s="13" t="s">
        <v>64</v>
      </c>
      <c r="G26" s="30">
        <v>3</v>
      </c>
      <c r="H26" s="30">
        <v>3</v>
      </c>
      <c r="I26" s="30">
        <f t="shared" si="2"/>
        <v>0</v>
      </c>
      <c r="J26" s="48" t="s">
        <v>112</v>
      </c>
      <c r="K26" s="28"/>
    </row>
    <row r="27" spans="1:11" ht="13.2" x14ac:dyDescent="0.25">
      <c r="A27" s="27">
        <v>45707</v>
      </c>
      <c r="B27" s="28" t="s">
        <v>50</v>
      </c>
      <c r="C27" s="12" t="s">
        <v>113</v>
      </c>
      <c r="D27" s="28"/>
      <c r="E27" s="13" t="s">
        <v>59</v>
      </c>
      <c r="F27" s="13" t="s">
        <v>64</v>
      </c>
      <c r="G27" s="30">
        <v>2</v>
      </c>
      <c r="H27" s="30">
        <v>2</v>
      </c>
      <c r="I27" s="30">
        <f t="shared" si="2"/>
        <v>0</v>
      </c>
      <c r="J27" s="29"/>
      <c r="K27" s="28" t="s">
        <v>222</v>
      </c>
    </row>
    <row r="28" spans="1:11" ht="13.2" x14ac:dyDescent="0.25">
      <c r="A28" s="27">
        <v>45707</v>
      </c>
      <c r="B28" s="28" t="s">
        <v>50</v>
      </c>
      <c r="C28" s="12" t="s">
        <v>109</v>
      </c>
      <c r="D28" s="28" t="s">
        <v>114</v>
      </c>
      <c r="E28" s="13" t="s">
        <v>49</v>
      </c>
      <c r="F28" s="13" t="s">
        <v>64</v>
      </c>
      <c r="G28" s="30">
        <v>2</v>
      </c>
      <c r="H28" s="30">
        <v>2</v>
      </c>
      <c r="I28" s="30">
        <f t="shared" si="2"/>
        <v>0</v>
      </c>
      <c r="J28" s="48" t="s">
        <v>126</v>
      </c>
      <c r="K28" s="28"/>
    </row>
    <row r="29" spans="1:11" ht="13.2" x14ac:dyDescent="0.25">
      <c r="A29" s="27">
        <v>45708</v>
      </c>
      <c r="B29" s="28" t="s">
        <v>50</v>
      </c>
      <c r="C29" s="12" t="s">
        <v>115</v>
      </c>
      <c r="D29" s="28" t="s">
        <v>116</v>
      </c>
      <c r="E29" s="13" t="s">
        <v>59</v>
      </c>
      <c r="F29" s="13" t="s">
        <v>67</v>
      </c>
      <c r="G29" s="30">
        <v>2</v>
      </c>
      <c r="H29" s="30">
        <v>2</v>
      </c>
      <c r="I29" s="30">
        <f t="shared" si="2"/>
        <v>0</v>
      </c>
      <c r="J29" s="29"/>
      <c r="K29" s="28" t="s">
        <v>117</v>
      </c>
    </row>
    <row r="30" spans="1:11" ht="13.2" x14ac:dyDescent="0.25">
      <c r="A30" s="27">
        <v>45708</v>
      </c>
      <c r="B30" s="28" t="s">
        <v>50</v>
      </c>
      <c r="C30" s="12" t="s">
        <v>118</v>
      </c>
      <c r="D30" s="28" t="s">
        <v>119</v>
      </c>
      <c r="E30" s="13" t="s">
        <v>59</v>
      </c>
      <c r="F30" s="13" t="s">
        <v>64</v>
      </c>
      <c r="G30" s="30">
        <v>2</v>
      </c>
      <c r="H30" s="30">
        <v>2</v>
      </c>
      <c r="I30" s="30">
        <f t="shared" si="2"/>
        <v>0</v>
      </c>
      <c r="J30" s="48" t="s">
        <v>125</v>
      </c>
      <c r="K30" s="28"/>
    </row>
    <row r="31" spans="1:11" ht="13.2" x14ac:dyDescent="0.25">
      <c r="A31" s="27">
        <v>45708</v>
      </c>
      <c r="B31" s="28" t="s">
        <v>50</v>
      </c>
      <c r="C31" s="12" t="s">
        <v>92</v>
      </c>
      <c r="D31" s="28" t="s">
        <v>120</v>
      </c>
      <c r="E31" s="13" t="s">
        <v>51</v>
      </c>
      <c r="F31" s="13" t="s">
        <v>64</v>
      </c>
      <c r="G31" s="30">
        <v>1.5</v>
      </c>
      <c r="H31" s="30">
        <v>1.5</v>
      </c>
      <c r="I31" s="30">
        <f t="shared" si="2"/>
        <v>0</v>
      </c>
      <c r="J31" s="49" t="s">
        <v>127</v>
      </c>
      <c r="K31" s="28" t="s">
        <v>121</v>
      </c>
    </row>
    <row r="32" spans="1:11" ht="13.2" x14ac:dyDescent="0.25">
      <c r="A32" s="27">
        <v>45709</v>
      </c>
      <c r="B32" s="28" t="s">
        <v>50</v>
      </c>
      <c r="C32" s="12" t="s">
        <v>122</v>
      </c>
      <c r="D32" s="28" t="s">
        <v>123</v>
      </c>
      <c r="E32" s="13" t="s">
        <v>47</v>
      </c>
      <c r="F32" s="13" t="s">
        <v>64</v>
      </c>
      <c r="G32" s="30">
        <v>1</v>
      </c>
      <c r="H32" s="30">
        <v>1</v>
      </c>
      <c r="I32" s="30">
        <f t="shared" si="2"/>
        <v>0</v>
      </c>
      <c r="J32" s="48" t="s">
        <v>124</v>
      </c>
      <c r="K32" s="28"/>
    </row>
    <row r="33" spans="1:11" ht="13.2" x14ac:dyDescent="0.25">
      <c r="A33" s="27">
        <v>45709</v>
      </c>
      <c r="B33" s="28" t="s">
        <v>50</v>
      </c>
      <c r="C33" s="12" t="s">
        <v>72</v>
      </c>
      <c r="D33" s="28" t="s">
        <v>128</v>
      </c>
      <c r="E33" s="13" t="s">
        <v>59</v>
      </c>
      <c r="F33" s="13" t="s">
        <v>64</v>
      </c>
      <c r="G33" s="30">
        <v>2</v>
      </c>
      <c r="H33" s="30">
        <v>2</v>
      </c>
      <c r="I33" s="30"/>
      <c r="J33" s="48" t="s">
        <v>124</v>
      </c>
      <c r="K33" s="28"/>
    </row>
    <row r="34" spans="1:11" ht="13.2" x14ac:dyDescent="0.25">
      <c r="A34" s="27">
        <v>45710</v>
      </c>
      <c r="B34" s="28" t="s">
        <v>50</v>
      </c>
      <c r="C34" s="12" t="s">
        <v>129</v>
      </c>
      <c r="D34" s="28" t="s">
        <v>130</v>
      </c>
      <c r="E34" s="13" t="s">
        <v>59</v>
      </c>
      <c r="F34" s="13" t="s">
        <v>64</v>
      </c>
      <c r="G34" s="30">
        <v>2</v>
      </c>
      <c r="H34" s="30">
        <v>2</v>
      </c>
      <c r="I34" s="30">
        <f t="shared" si="2"/>
        <v>0</v>
      </c>
      <c r="J34" s="48" t="s">
        <v>124</v>
      </c>
      <c r="K34" s="28" t="s">
        <v>223</v>
      </c>
    </row>
    <row r="35" spans="1:11" ht="13.2" x14ac:dyDescent="0.25">
      <c r="A35" s="19"/>
      <c r="B35" s="21"/>
      <c r="C35" s="21"/>
      <c r="D35" s="21"/>
      <c r="E35" s="21" t="s">
        <v>17</v>
      </c>
      <c r="F35" s="21"/>
      <c r="G35" s="24">
        <f t="shared" ref="G35:H35" si="3">SUM(G19:G34)</f>
        <v>29</v>
      </c>
      <c r="H35" s="24">
        <f t="shared" si="3"/>
        <v>30</v>
      </c>
      <c r="I35" s="24">
        <f t="shared" si="2"/>
        <v>1</v>
      </c>
      <c r="J35" s="25"/>
      <c r="K35" s="21"/>
    </row>
    <row r="36" spans="1:11" ht="18.75" customHeight="1" x14ac:dyDescent="0.25">
      <c r="A36" s="66" t="s">
        <v>20</v>
      </c>
      <c r="B36" s="56"/>
      <c r="C36" s="56"/>
      <c r="D36" s="56"/>
      <c r="E36" s="56"/>
      <c r="F36" s="56"/>
      <c r="G36" s="56"/>
      <c r="H36" s="56"/>
      <c r="I36" s="56"/>
      <c r="J36" s="56"/>
      <c r="K36" s="57"/>
    </row>
    <row r="37" spans="1:11" ht="13.2" x14ac:dyDescent="0.25">
      <c r="A37" s="31" t="s">
        <v>12</v>
      </c>
      <c r="B37" s="67" t="s">
        <v>13</v>
      </c>
      <c r="C37" s="56"/>
      <c r="D37" s="56"/>
      <c r="E37" s="56"/>
      <c r="F37" s="56"/>
      <c r="G37" s="56"/>
      <c r="H37" s="56"/>
      <c r="I37" s="56"/>
      <c r="J37" s="56"/>
      <c r="K37" s="57"/>
    </row>
    <row r="38" spans="1:11" ht="27.75" customHeight="1" x14ac:dyDescent="0.25">
      <c r="A38" s="32" t="s">
        <v>14</v>
      </c>
      <c r="B38" s="67" t="s">
        <v>15</v>
      </c>
      <c r="C38" s="56"/>
      <c r="D38" s="56"/>
      <c r="E38" s="56"/>
      <c r="F38" s="56"/>
      <c r="G38" s="56"/>
      <c r="H38" s="56"/>
      <c r="I38" s="56"/>
      <c r="J38" s="56"/>
      <c r="K38" s="57"/>
    </row>
    <row r="39" spans="1:11" ht="13.2" x14ac:dyDescent="0.25">
      <c r="A39" s="33">
        <v>45740</v>
      </c>
      <c r="B39" s="28" t="s">
        <v>50</v>
      </c>
      <c r="C39" s="12" t="s">
        <v>186</v>
      </c>
      <c r="D39" s="28" t="s">
        <v>207</v>
      </c>
      <c r="E39" s="13" t="s">
        <v>59</v>
      </c>
      <c r="F39" s="13" t="s">
        <v>68</v>
      </c>
      <c r="G39" s="30">
        <v>2</v>
      </c>
      <c r="H39" s="30">
        <v>2</v>
      </c>
      <c r="I39" s="30">
        <f t="shared" ref="I39:I49" si="4">H39-G39</f>
        <v>0</v>
      </c>
      <c r="J39" s="48" t="s">
        <v>208</v>
      </c>
      <c r="K39" s="28" t="s">
        <v>224</v>
      </c>
    </row>
    <row r="40" spans="1:11" ht="13.2" x14ac:dyDescent="0.25">
      <c r="A40" s="33">
        <v>45740</v>
      </c>
      <c r="B40" s="28" t="s">
        <v>50</v>
      </c>
      <c r="C40" s="12" t="s">
        <v>116</v>
      </c>
      <c r="D40" s="28" t="s">
        <v>209</v>
      </c>
      <c r="E40" s="13" t="s">
        <v>59</v>
      </c>
      <c r="F40" s="13" t="s">
        <v>67</v>
      </c>
      <c r="G40" s="30">
        <v>3</v>
      </c>
      <c r="H40" s="30">
        <v>3</v>
      </c>
      <c r="I40" s="30">
        <f t="shared" si="4"/>
        <v>0</v>
      </c>
      <c r="J40" s="29"/>
      <c r="K40" s="28"/>
    </row>
    <row r="41" spans="1:11" ht="13.2" x14ac:dyDescent="0.25">
      <c r="A41" s="33">
        <v>45740</v>
      </c>
      <c r="B41" s="28" t="s">
        <v>50</v>
      </c>
      <c r="C41" s="12" t="s">
        <v>210</v>
      </c>
      <c r="D41" s="28" t="s">
        <v>211</v>
      </c>
      <c r="E41" s="13" t="s">
        <v>51</v>
      </c>
      <c r="F41" s="13" t="s">
        <v>67</v>
      </c>
      <c r="G41" s="30">
        <v>1</v>
      </c>
      <c r="H41" s="30">
        <v>1</v>
      </c>
      <c r="I41" s="30">
        <f t="shared" si="4"/>
        <v>0</v>
      </c>
      <c r="J41" s="29"/>
      <c r="K41" s="28"/>
    </row>
    <row r="42" spans="1:11" ht="13.2" x14ac:dyDescent="0.25">
      <c r="A42" s="33">
        <v>45741</v>
      </c>
      <c r="B42" s="28" t="s">
        <v>50</v>
      </c>
      <c r="C42" s="12" t="s">
        <v>173</v>
      </c>
      <c r="D42" s="28" t="s">
        <v>212</v>
      </c>
      <c r="E42" s="13" t="s">
        <v>59</v>
      </c>
      <c r="F42" s="13" t="s">
        <v>68</v>
      </c>
      <c r="G42" s="30">
        <v>3</v>
      </c>
      <c r="H42" s="30">
        <v>3</v>
      </c>
      <c r="I42" s="30">
        <f t="shared" si="4"/>
        <v>0</v>
      </c>
      <c r="J42" s="29"/>
      <c r="K42" s="28"/>
    </row>
    <row r="43" spans="1:11" ht="13.2" x14ac:dyDescent="0.25">
      <c r="A43" s="33">
        <v>45741</v>
      </c>
      <c r="B43" s="28" t="s">
        <v>50</v>
      </c>
      <c r="C43" s="12" t="s">
        <v>118</v>
      </c>
      <c r="D43" s="28" t="s">
        <v>213</v>
      </c>
      <c r="E43" s="13" t="s">
        <v>59</v>
      </c>
      <c r="F43" s="13" t="s">
        <v>68</v>
      </c>
      <c r="G43" s="30">
        <v>2</v>
      </c>
      <c r="H43" s="30">
        <v>2</v>
      </c>
      <c r="I43" s="30">
        <f t="shared" si="4"/>
        <v>0</v>
      </c>
      <c r="J43" s="29"/>
      <c r="K43" s="28"/>
    </row>
    <row r="44" spans="1:11" ht="13.2" x14ac:dyDescent="0.25">
      <c r="A44" s="33">
        <v>45742</v>
      </c>
      <c r="B44" s="28" t="s">
        <v>50</v>
      </c>
      <c r="C44" s="12" t="s">
        <v>72</v>
      </c>
      <c r="D44" s="28" t="s">
        <v>214</v>
      </c>
      <c r="E44" s="13" t="s">
        <v>59</v>
      </c>
      <c r="F44" s="13" t="s">
        <v>69</v>
      </c>
      <c r="G44" s="30">
        <v>3</v>
      </c>
      <c r="H44" s="30">
        <v>3</v>
      </c>
      <c r="I44" s="30">
        <f t="shared" si="4"/>
        <v>0</v>
      </c>
      <c r="J44" s="29"/>
      <c r="K44" s="28"/>
    </row>
    <row r="45" spans="1:11" ht="13.2" x14ac:dyDescent="0.25">
      <c r="A45" s="33">
        <v>45742</v>
      </c>
      <c r="B45" s="28" t="s">
        <v>50</v>
      </c>
      <c r="C45" s="12" t="s">
        <v>153</v>
      </c>
      <c r="D45" s="28" t="s">
        <v>215</v>
      </c>
      <c r="E45" s="13" t="s">
        <v>43</v>
      </c>
      <c r="F45" s="13" t="s">
        <v>69</v>
      </c>
      <c r="G45" s="30">
        <v>2</v>
      </c>
      <c r="H45" s="30">
        <v>4</v>
      </c>
      <c r="I45" s="30">
        <f t="shared" si="4"/>
        <v>2</v>
      </c>
      <c r="J45" s="48" t="s">
        <v>193</v>
      </c>
      <c r="K45" s="28" t="s">
        <v>216</v>
      </c>
    </row>
    <row r="46" spans="1:11" ht="13.2" x14ac:dyDescent="0.25">
      <c r="A46" s="33">
        <v>45743</v>
      </c>
      <c r="B46" s="28" t="s">
        <v>50</v>
      </c>
      <c r="C46" s="12" t="s">
        <v>217</v>
      </c>
      <c r="D46" s="28" t="s">
        <v>218</v>
      </c>
      <c r="E46" s="13" t="s">
        <v>59</v>
      </c>
      <c r="F46" s="13" t="s">
        <v>68</v>
      </c>
      <c r="G46" s="30">
        <v>5</v>
      </c>
      <c r="H46" s="30">
        <v>5</v>
      </c>
      <c r="I46" s="30">
        <f t="shared" si="4"/>
        <v>0</v>
      </c>
      <c r="J46" s="48" t="s">
        <v>219</v>
      </c>
      <c r="K46" s="28"/>
    </row>
    <row r="47" spans="1:11" ht="13.2" x14ac:dyDescent="0.25">
      <c r="A47" s="33">
        <v>45744</v>
      </c>
      <c r="B47" s="28" t="s">
        <v>50</v>
      </c>
      <c r="C47" s="12" t="s">
        <v>220</v>
      </c>
      <c r="D47" s="28" t="s">
        <v>221</v>
      </c>
      <c r="E47" s="13" t="s">
        <v>59</v>
      </c>
      <c r="F47" s="13" t="s">
        <v>68</v>
      </c>
      <c r="G47" s="30">
        <v>4</v>
      </c>
      <c r="H47" s="30">
        <v>4</v>
      </c>
      <c r="I47" s="30">
        <f t="shared" si="4"/>
        <v>0</v>
      </c>
      <c r="J47" s="29"/>
      <c r="K47" s="28" t="s">
        <v>225</v>
      </c>
    </row>
    <row r="48" spans="1:11" ht="13.2" x14ac:dyDescent="0.25">
      <c r="A48" s="33"/>
      <c r="B48" s="28"/>
      <c r="C48" s="12" t="s">
        <v>16</v>
      </c>
      <c r="D48" s="28"/>
      <c r="E48" s="13"/>
      <c r="F48" s="13"/>
      <c r="G48" s="30"/>
      <c r="H48" s="30"/>
      <c r="I48" s="30">
        <f t="shared" si="4"/>
        <v>0</v>
      </c>
      <c r="J48" s="29"/>
      <c r="K48" s="28"/>
    </row>
    <row r="49" spans="1:11" ht="13.2" x14ac:dyDescent="0.25">
      <c r="A49" s="19"/>
      <c r="B49" s="21"/>
      <c r="C49" s="21"/>
      <c r="D49" s="21"/>
      <c r="E49" s="21" t="s">
        <v>17</v>
      </c>
      <c r="F49" s="21"/>
      <c r="G49" s="24">
        <f t="shared" ref="G49:H49" si="5">SUM(G39:G48)</f>
        <v>25</v>
      </c>
      <c r="H49" s="24">
        <f t="shared" si="5"/>
        <v>27</v>
      </c>
      <c r="I49" s="24">
        <f t="shared" si="4"/>
        <v>2</v>
      </c>
      <c r="J49" s="25"/>
      <c r="K49" s="21"/>
    </row>
    <row r="50" spans="1:11" ht="18.75" customHeight="1" x14ac:dyDescent="0.25">
      <c r="A50" s="68" t="s">
        <v>21</v>
      </c>
      <c r="B50" s="56"/>
      <c r="C50" s="56"/>
      <c r="D50" s="56"/>
      <c r="E50" s="56"/>
      <c r="F50" s="56"/>
      <c r="G50" s="56"/>
      <c r="H50" s="56"/>
      <c r="I50" s="56"/>
      <c r="J50" s="56"/>
      <c r="K50" s="57"/>
    </row>
    <row r="51" spans="1:11" ht="13.2" x14ac:dyDescent="0.25">
      <c r="A51" s="34" t="s">
        <v>12</v>
      </c>
      <c r="B51" s="62" t="s">
        <v>13</v>
      </c>
      <c r="C51" s="56"/>
      <c r="D51" s="56"/>
      <c r="E51" s="56"/>
      <c r="F51" s="56"/>
      <c r="G51" s="56"/>
      <c r="H51" s="56"/>
      <c r="I51" s="56"/>
      <c r="J51" s="56"/>
      <c r="K51" s="57"/>
    </row>
    <row r="52" spans="1:11" ht="27.75" customHeight="1" x14ac:dyDescent="0.25">
      <c r="A52" s="35" t="s">
        <v>14</v>
      </c>
      <c r="B52" s="62" t="s">
        <v>15</v>
      </c>
      <c r="C52" s="56"/>
      <c r="D52" s="56"/>
      <c r="E52" s="56"/>
      <c r="F52" s="56"/>
      <c r="G52" s="56"/>
      <c r="H52" s="56"/>
      <c r="I52" s="56"/>
      <c r="J52" s="56"/>
      <c r="K52" s="57"/>
    </row>
    <row r="53" spans="1:11" ht="13.2" x14ac:dyDescent="0.25">
      <c r="A53" s="33">
        <v>45726</v>
      </c>
      <c r="B53" s="28" t="s">
        <v>50</v>
      </c>
      <c r="C53" s="12" t="s">
        <v>152</v>
      </c>
      <c r="D53" s="28" t="s">
        <v>184</v>
      </c>
      <c r="E53" s="13" t="s">
        <v>59</v>
      </c>
      <c r="F53" s="13" t="s">
        <v>68</v>
      </c>
      <c r="G53" s="30">
        <v>2</v>
      </c>
      <c r="H53" s="30">
        <v>2</v>
      </c>
      <c r="I53" s="30">
        <f t="shared" ref="I53:I65" si="6">H53-G53</f>
        <v>0</v>
      </c>
      <c r="J53" s="48" t="s">
        <v>185</v>
      </c>
      <c r="K53" s="28"/>
    </row>
    <row r="54" spans="1:11" ht="13.2" x14ac:dyDescent="0.25">
      <c r="A54" s="33">
        <v>45726</v>
      </c>
      <c r="B54" s="28" t="s">
        <v>50</v>
      </c>
      <c r="C54" s="12" t="s">
        <v>186</v>
      </c>
      <c r="D54" s="28" t="s">
        <v>187</v>
      </c>
      <c r="E54" s="13" t="s">
        <v>59</v>
      </c>
      <c r="F54" s="13" t="s">
        <v>67</v>
      </c>
      <c r="G54" s="30">
        <v>4</v>
      </c>
      <c r="H54" s="30">
        <v>4</v>
      </c>
      <c r="I54" s="30">
        <f t="shared" si="6"/>
        <v>0</v>
      </c>
      <c r="J54" s="29"/>
      <c r="K54" s="28"/>
    </row>
    <row r="55" spans="1:11" ht="13.2" x14ac:dyDescent="0.25">
      <c r="A55" s="33">
        <v>45726</v>
      </c>
      <c r="B55" s="28" t="s">
        <v>50</v>
      </c>
      <c r="C55" s="12" t="s">
        <v>116</v>
      </c>
      <c r="D55" s="28" t="s">
        <v>188</v>
      </c>
      <c r="E55" s="13" t="s">
        <v>59</v>
      </c>
      <c r="F55" s="13" t="s">
        <v>68</v>
      </c>
      <c r="G55" s="30">
        <v>2</v>
      </c>
      <c r="H55" s="30">
        <v>2</v>
      </c>
      <c r="I55" s="30">
        <f t="shared" si="6"/>
        <v>0</v>
      </c>
      <c r="J55" s="29"/>
      <c r="K55" s="28"/>
    </row>
    <row r="56" spans="1:11" ht="13.2" x14ac:dyDescent="0.25">
      <c r="A56" s="33">
        <v>45727</v>
      </c>
      <c r="B56" s="28" t="s">
        <v>50</v>
      </c>
      <c r="C56" s="12" t="s">
        <v>189</v>
      </c>
      <c r="D56" s="28" t="s">
        <v>190</v>
      </c>
      <c r="E56" s="13" t="s">
        <v>59</v>
      </c>
      <c r="F56" s="13" t="s">
        <v>68</v>
      </c>
      <c r="G56" s="30">
        <v>6</v>
      </c>
      <c r="H56" s="30">
        <v>6</v>
      </c>
      <c r="I56" s="30">
        <f t="shared" si="6"/>
        <v>0</v>
      </c>
      <c r="J56" s="29"/>
      <c r="K56" s="28" t="s">
        <v>191</v>
      </c>
    </row>
    <row r="57" spans="1:11" ht="13.2" x14ac:dyDescent="0.25">
      <c r="A57" s="33">
        <v>45728</v>
      </c>
      <c r="B57" s="28" t="s">
        <v>50</v>
      </c>
      <c r="C57" s="12" t="s">
        <v>153</v>
      </c>
      <c r="D57" s="28" t="s">
        <v>192</v>
      </c>
      <c r="E57" s="13" t="s">
        <v>43</v>
      </c>
      <c r="F57" s="13" t="s">
        <v>69</v>
      </c>
      <c r="G57" s="30">
        <v>3</v>
      </c>
      <c r="H57" s="30">
        <v>3</v>
      </c>
      <c r="I57" s="30">
        <f t="shared" si="6"/>
        <v>0</v>
      </c>
      <c r="J57" s="48" t="s">
        <v>193</v>
      </c>
      <c r="K57" s="28"/>
    </row>
    <row r="58" spans="1:11" ht="13.2" x14ac:dyDescent="0.25">
      <c r="A58" s="33">
        <v>45728</v>
      </c>
      <c r="B58" s="28" t="s">
        <v>50</v>
      </c>
      <c r="C58" s="12" t="s">
        <v>194</v>
      </c>
      <c r="D58" s="28" t="s">
        <v>195</v>
      </c>
      <c r="E58" s="13" t="s">
        <v>59</v>
      </c>
      <c r="F58" s="13" t="s">
        <v>69</v>
      </c>
      <c r="G58" s="30">
        <v>3</v>
      </c>
      <c r="H58" s="30">
        <v>3</v>
      </c>
      <c r="I58" s="30">
        <f t="shared" si="6"/>
        <v>0</v>
      </c>
      <c r="J58" s="48" t="s">
        <v>196</v>
      </c>
      <c r="K58" s="28" t="s">
        <v>226</v>
      </c>
    </row>
    <row r="59" spans="1:11" ht="13.2" x14ac:dyDescent="0.25">
      <c r="A59" s="33">
        <v>45729</v>
      </c>
      <c r="B59" s="28" t="s">
        <v>50</v>
      </c>
      <c r="C59" s="12" t="s">
        <v>152</v>
      </c>
      <c r="D59" s="28" t="s">
        <v>197</v>
      </c>
      <c r="E59" s="13" t="s">
        <v>59</v>
      </c>
      <c r="F59" s="13" t="s">
        <v>68</v>
      </c>
      <c r="G59" s="30">
        <v>3</v>
      </c>
      <c r="H59" s="30">
        <v>3</v>
      </c>
      <c r="I59" s="30">
        <f t="shared" si="6"/>
        <v>0</v>
      </c>
      <c r="J59" s="48" t="s">
        <v>199</v>
      </c>
      <c r="K59" s="28" t="s">
        <v>198</v>
      </c>
    </row>
    <row r="60" spans="1:11" ht="13.2" x14ac:dyDescent="0.25">
      <c r="A60" s="33">
        <v>45729</v>
      </c>
      <c r="B60" s="28" t="s">
        <v>50</v>
      </c>
      <c r="C60" s="12" t="s">
        <v>171</v>
      </c>
      <c r="D60" s="28" t="s">
        <v>145</v>
      </c>
      <c r="E60" s="13" t="s">
        <v>47</v>
      </c>
      <c r="F60" s="13" t="s">
        <v>68</v>
      </c>
      <c r="G60" s="30">
        <v>3</v>
      </c>
      <c r="H60" s="30">
        <v>3</v>
      </c>
      <c r="I60" s="30">
        <f t="shared" si="6"/>
        <v>0</v>
      </c>
      <c r="J60" s="48" t="s">
        <v>129</v>
      </c>
      <c r="K60" s="28"/>
    </row>
    <row r="61" spans="1:11" ht="13.2" x14ac:dyDescent="0.25">
      <c r="A61" s="33">
        <v>45730</v>
      </c>
      <c r="B61" s="28" t="s">
        <v>50</v>
      </c>
      <c r="C61" s="12" t="s">
        <v>115</v>
      </c>
      <c r="D61" s="28" t="s">
        <v>200</v>
      </c>
      <c r="E61" s="13" t="s">
        <v>59</v>
      </c>
      <c r="F61" s="13" t="s">
        <v>68</v>
      </c>
      <c r="G61" s="30">
        <v>2</v>
      </c>
      <c r="H61" s="30">
        <v>2</v>
      </c>
      <c r="I61" s="30">
        <f>H61-G61</f>
        <v>0</v>
      </c>
      <c r="J61" s="29"/>
      <c r="K61" s="28"/>
    </row>
    <row r="62" spans="1:11" ht="13.2" x14ac:dyDescent="0.25">
      <c r="A62" s="33">
        <v>45730</v>
      </c>
      <c r="B62" s="28" t="s">
        <v>50</v>
      </c>
      <c r="C62" s="12" t="s">
        <v>189</v>
      </c>
      <c r="D62" s="28" t="s">
        <v>174</v>
      </c>
      <c r="E62" s="13" t="s">
        <v>59</v>
      </c>
      <c r="F62" s="13" t="s">
        <v>68</v>
      </c>
      <c r="G62" s="30">
        <v>2</v>
      </c>
      <c r="H62" s="30">
        <v>2</v>
      </c>
      <c r="I62" s="30">
        <f t="shared" si="6"/>
        <v>0</v>
      </c>
      <c r="J62" s="48" t="s">
        <v>204</v>
      </c>
      <c r="K62" s="28" t="s">
        <v>201</v>
      </c>
    </row>
    <row r="63" spans="1:11" ht="13.2" x14ac:dyDescent="0.25">
      <c r="A63" s="33">
        <v>45730</v>
      </c>
      <c r="B63" s="28" t="s">
        <v>50</v>
      </c>
      <c r="C63" s="12" t="s">
        <v>171</v>
      </c>
      <c r="D63" s="28" t="s">
        <v>202</v>
      </c>
      <c r="E63" s="13" t="s">
        <v>47</v>
      </c>
      <c r="F63" s="13" t="s">
        <v>68</v>
      </c>
      <c r="G63" s="30">
        <v>3</v>
      </c>
      <c r="H63" s="30">
        <v>3</v>
      </c>
      <c r="I63" s="30">
        <f t="shared" si="6"/>
        <v>0</v>
      </c>
      <c r="J63" s="48" t="s">
        <v>203</v>
      </c>
      <c r="K63" s="28" t="s">
        <v>227</v>
      </c>
    </row>
    <row r="64" spans="1:11" ht="13.2" x14ac:dyDescent="0.25">
      <c r="A64" s="33">
        <v>45731</v>
      </c>
      <c r="B64" s="28" t="s">
        <v>50</v>
      </c>
      <c r="C64" s="12" t="s">
        <v>205</v>
      </c>
      <c r="D64" s="28" t="s">
        <v>206</v>
      </c>
      <c r="E64" s="13" t="s">
        <v>49</v>
      </c>
      <c r="F64" s="13" t="s">
        <v>68</v>
      </c>
      <c r="G64" s="30">
        <v>2</v>
      </c>
      <c r="H64" s="30">
        <v>2</v>
      </c>
      <c r="I64" s="30">
        <f t="shared" si="6"/>
        <v>0</v>
      </c>
      <c r="J64" s="29"/>
      <c r="K64" s="28"/>
    </row>
    <row r="65" spans="1:11" ht="13.2" x14ac:dyDescent="0.25">
      <c r="A65" s="19"/>
      <c r="B65" s="21"/>
      <c r="C65" s="21"/>
      <c r="D65" s="21"/>
      <c r="E65" s="21" t="s">
        <v>17</v>
      </c>
      <c r="F65" s="21"/>
      <c r="G65" s="24">
        <f t="shared" ref="G65:H65" si="7">SUM(G53:G64)</f>
        <v>35</v>
      </c>
      <c r="H65" s="24">
        <f t="shared" si="7"/>
        <v>35</v>
      </c>
      <c r="I65" s="24">
        <f t="shared" si="6"/>
        <v>0</v>
      </c>
      <c r="J65" s="25"/>
      <c r="K65" s="21"/>
    </row>
    <row r="66" spans="1:11" ht="18.75" customHeight="1" x14ac:dyDescent="0.25">
      <c r="A66" s="63" t="s">
        <v>22</v>
      </c>
      <c r="B66" s="56"/>
      <c r="C66" s="56"/>
      <c r="D66" s="56"/>
      <c r="E66" s="56"/>
      <c r="F66" s="56"/>
      <c r="G66" s="56"/>
      <c r="H66" s="56"/>
      <c r="I66" s="56"/>
      <c r="J66" s="56"/>
      <c r="K66" s="57"/>
    </row>
    <row r="67" spans="1:11" ht="13.2" x14ac:dyDescent="0.25">
      <c r="A67" s="36" t="s">
        <v>12</v>
      </c>
      <c r="B67" s="55" t="s">
        <v>13</v>
      </c>
      <c r="C67" s="56"/>
      <c r="D67" s="56"/>
      <c r="E67" s="56"/>
      <c r="F67" s="56"/>
      <c r="G67" s="56"/>
      <c r="H67" s="56"/>
      <c r="I67" s="56"/>
      <c r="J67" s="56"/>
      <c r="K67" s="57"/>
    </row>
    <row r="68" spans="1:11" ht="27.75" customHeight="1" x14ac:dyDescent="0.25">
      <c r="A68" s="37" t="s">
        <v>14</v>
      </c>
      <c r="B68" s="55" t="s">
        <v>15</v>
      </c>
      <c r="C68" s="56"/>
      <c r="D68" s="56"/>
      <c r="E68" s="56"/>
      <c r="F68" s="56"/>
      <c r="G68" s="56"/>
      <c r="H68" s="56"/>
      <c r="I68" s="56"/>
      <c r="J68" s="56"/>
      <c r="K68" s="57"/>
    </row>
    <row r="69" spans="1:11" ht="13.2" x14ac:dyDescent="0.25">
      <c r="A69" s="33">
        <v>45733</v>
      </c>
      <c r="B69" s="28" t="s">
        <v>50</v>
      </c>
      <c r="C69" s="12" t="s">
        <v>134</v>
      </c>
      <c r="D69" s="28" t="s">
        <v>162</v>
      </c>
      <c r="E69" s="13" t="s">
        <v>59</v>
      </c>
      <c r="F69" s="13" t="s">
        <v>67</v>
      </c>
      <c r="G69" s="30">
        <v>3</v>
      </c>
      <c r="H69" s="30">
        <v>3</v>
      </c>
      <c r="I69" s="30">
        <f t="shared" ref="I69:I82" si="8">H69-G69</f>
        <v>0</v>
      </c>
      <c r="J69" s="48" t="s">
        <v>163</v>
      </c>
      <c r="K69" s="28" t="s">
        <v>228</v>
      </c>
    </row>
    <row r="70" spans="1:11" ht="13.2" x14ac:dyDescent="0.25">
      <c r="A70" s="33">
        <v>45733</v>
      </c>
      <c r="B70" s="28" t="s">
        <v>50</v>
      </c>
      <c r="C70" s="12" t="s">
        <v>164</v>
      </c>
      <c r="D70" s="28" t="s">
        <v>165</v>
      </c>
      <c r="E70" s="13" t="s">
        <v>59</v>
      </c>
      <c r="F70" s="13" t="s">
        <v>67</v>
      </c>
      <c r="G70" s="30">
        <v>2</v>
      </c>
      <c r="H70" s="30">
        <v>2</v>
      </c>
      <c r="I70" s="30">
        <f t="shared" si="8"/>
        <v>0</v>
      </c>
      <c r="J70" s="29"/>
      <c r="K70" s="28"/>
    </row>
    <row r="71" spans="1:11" ht="13.2" x14ac:dyDescent="0.25">
      <c r="A71" s="33">
        <v>45733</v>
      </c>
      <c r="B71" s="28" t="s">
        <v>50</v>
      </c>
      <c r="C71" s="12" t="s">
        <v>166</v>
      </c>
      <c r="D71" s="28"/>
      <c r="E71" s="13" t="s">
        <v>51</v>
      </c>
      <c r="F71" s="13" t="s">
        <v>67</v>
      </c>
      <c r="G71" s="30">
        <v>1</v>
      </c>
      <c r="H71" s="30">
        <v>1</v>
      </c>
      <c r="I71" s="30">
        <f t="shared" si="8"/>
        <v>0</v>
      </c>
      <c r="J71" s="48" t="s">
        <v>167</v>
      </c>
      <c r="K71" s="28"/>
    </row>
    <row r="72" spans="1:11" ht="13.2" x14ac:dyDescent="0.25">
      <c r="A72" s="33">
        <v>45734</v>
      </c>
      <c r="B72" s="28" t="s">
        <v>50</v>
      </c>
      <c r="C72" s="12" t="s">
        <v>168</v>
      </c>
      <c r="D72" s="28" t="s">
        <v>169</v>
      </c>
      <c r="E72" s="13" t="s">
        <v>51</v>
      </c>
      <c r="F72" s="13" t="s">
        <v>68</v>
      </c>
      <c r="G72" s="30">
        <v>3</v>
      </c>
      <c r="H72" s="30">
        <v>3</v>
      </c>
      <c r="I72" s="30">
        <f t="shared" si="8"/>
        <v>0</v>
      </c>
      <c r="J72" s="48" t="s">
        <v>170</v>
      </c>
      <c r="K72" s="28" t="s">
        <v>230</v>
      </c>
    </row>
    <row r="73" spans="1:11" ht="13.2" x14ac:dyDescent="0.25">
      <c r="A73" s="33">
        <v>45734</v>
      </c>
      <c r="B73" s="28" t="s">
        <v>50</v>
      </c>
      <c r="C73" s="12" t="s">
        <v>171</v>
      </c>
      <c r="D73" s="28" t="s">
        <v>172</v>
      </c>
      <c r="E73" s="13" t="s">
        <v>56</v>
      </c>
      <c r="F73" s="13" t="s">
        <v>68</v>
      </c>
      <c r="G73" s="30">
        <v>3</v>
      </c>
      <c r="H73" s="30">
        <v>3</v>
      </c>
      <c r="I73" s="30">
        <f t="shared" si="8"/>
        <v>0</v>
      </c>
      <c r="J73" s="48" t="s">
        <v>171</v>
      </c>
      <c r="K73" s="28"/>
    </row>
    <row r="74" spans="1:11" ht="13.2" x14ac:dyDescent="0.25">
      <c r="A74" s="33">
        <v>45735</v>
      </c>
      <c r="B74" s="28" t="s">
        <v>50</v>
      </c>
      <c r="C74" s="12" t="s">
        <v>173</v>
      </c>
      <c r="D74" s="28" t="s">
        <v>174</v>
      </c>
      <c r="E74" s="13" t="s">
        <v>59</v>
      </c>
      <c r="F74" s="13" t="s">
        <v>69</v>
      </c>
      <c r="G74" s="30">
        <v>3</v>
      </c>
      <c r="H74" s="30">
        <v>3</v>
      </c>
      <c r="I74" s="30">
        <f t="shared" si="8"/>
        <v>0</v>
      </c>
      <c r="J74" s="48" t="s">
        <v>175</v>
      </c>
      <c r="K74" s="28" t="s">
        <v>229</v>
      </c>
    </row>
    <row r="75" spans="1:11" ht="13.2" x14ac:dyDescent="0.25">
      <c r="A75" s="33">
        <v>45735</v>
      </c>
      <c r="B75" s="28" t="s">
        <v>50</v>
      </c>
      <c r="C75" s="12" t="s">
        <v>176</v>
      </c>
      <c r="D75" s="28" t="s">
        <v>177</v>
      </c>
      <c r="E75" s="13" t="s">
        <v>56</v>
      </c>
      <c r="F75" s="13" t="s">
        <v>69</v>
      </c>
      <c r="G75" s="30">
        <v>3</v>
      </c>
      <c r="H75" s="30">
        <v>3</v>
      </c>
      <c r="I75" s="30">
        <f t="shared" si="8"/>
        <v>0</v>
      </c>
      <c r="J75" s="29"/>
      <c r="K75" s="28"/>
    </row>
    <row r="76" spans="1:11" ht="13.2" x14ac:dyDescent="0.25">
      <c r="A76" s="33">
        <v>45735</v>
      </c>
      <c r="B76" s="28" t="s">
        <v>50</v>
      </c>
      <c r="C76" s="12" t="s">
        <v>178</v>
      </c>
      <c r="D76" s="28" t="s">
        <v>179</v>
      </c>
      <c r="E76" s="13" t="s">
        <v>51</v>
      </c>
      <c r="F76" s="13" t="s">
        <v>69</v>
      </c>
      <c r="G76" s="30">
        <v>1</v>
      </c>
      <c r="H76" s="30">
        <v>1</v>
      </c>
      <c r="I76" s="30">
        <f t="shared" ref="I76:I78" si="9">H72-G76</f>
        <v>2</v>
      </c>
      <c r="J76" s="48" t="s">
        <v>178</v>
      </c>
      <c r="K76" s="28"/>
    </row>
    <row r="77" spans="1:11" ht="13.2" x14ac:dyDescent="0.25">
      <c r="A77" s="33">
        <v>45736</v>
      </c>
      <c r="B77" s="28" t="s">
        <v>50</v>
      </c>
      <c r="C77" s="12" t="s">
        <v>92</v>
      </c>
      <c r="D77" s="28" t="s">
        <v>93</v>
      </c>
      <c r="E77" s="13" t="s">
        <v>51</v>
      </c>
      <c r="F77" s="13" t="s">
        <v>69</v>
      </c>
      <c r="G77" s="30">
        <v>1</v>
      </c>
      <c r="H77" s="30">
        <v>1</v>
      </c>
      <c r="I77" s="30">
        <f t="shared" si="9"/>
        <v>2</v>
      </c>
      <c r="J77" s="48" t="s">
        <v>180</v>
      </c>
      <c r="K77" s="28"/>
    </row>
    <row r="78" spans="1:11" ht="13.2" x14ac:dyDescent="0.25">
      <c r="A78" s="33">
        <v>45736</v>
      </c>
      <c r="B78" s="28" t="s">
        <v>50</v>
      </c>
      <c r="C78" s="12" t="s">
        <v>134</v>
      </c>
      <c r="D78" s="28" t="s">
        <v>181</v>
      </c>
      <c r="E78" s="13" t="s">
        <v>59</v>
      </c>
      <c r="F78" s="13" t="s">
        <v>68</v>
      </c>
      <c r="G78" s="30">
        <v>3</v>
      </c>
      <c r="H78" s="30">
        <v>3</v>
      </c>
      <c r="I78" s="30">
        <f t="shared" si="9"/>
        <v>0</v>
      </c>
      <c r="J78" s="29"/>
      <c r="K78" s="28"/>
    </row>
    <row r="79" spans="1:11" ht="13.2" x14ac:dyDescent="0.25">
      <c r="A79" s="33">
        <v>45736</v>
      </c>
      <c r="B79" s="28" t="s">
        <v>50</v>
      </c>
      <c r="C79" s="12" t="s">
        <v>171</v>
      </c>
      <c r="D79" s="28" t="s">
        <v>145</v>
      </c>
      <c r="E79" s="13" t="s">
        <v>47</v>
      </c>
      <c r="F79" s="13" t="s">
        <v>68</v>
      </c>
      <c r="G79" s="30">
        <v>2</v>
      </c>
      <c r="H79" s="30">
        <v>2</v>
      </c>
      <c r="I79" s="30">
        <f>H79-G79</f>
        <v>0</v>
      </c>
      <c r="J79" s="48" t="s">
        <v>171</v>
      </c>
      <c r="K79" s="28" t="s">
        <v>231</v>
      </c>
    </row>
    <row r="80" spans="1:11" ht="13.2" x14ac:dyDescent="0.25">
      <c r="A80" s="33">
        <v>45737</v>
      </c>
      <c r="B80" s="28" t="s">
        <v>50</v>
      </c>
      <c r="C80" s="12" t="s">
        <v>173</v>
      </c>
      <c r="D80" s="28" t="s">
        <v>182</v>
      </c>
      <c r="E80" s="13" t="s">
        <v>59</v>
      </c>
      <c r="F80" s="13" t="s">
        <v>68</v>
      </c>
      <c r="G80" s="30">
        <v>4</v>
      </c>
      <c r="H80" s="30">
        <v>4</v>
      </c>
      <c r="I80" s="30">
        <f>H80-G80</f>
        <v>0</v>
      </c>
      <c r="J80" s="29"/>
      <c r="K80" s="28"/>
    </row>
    <row r="81" spans="1:11" ht="13.2" x14ac:dyDescent="0.25">
      <c r="A81" s="33">
        <v>45737</v>
      </c>
      <c r="B81" s="28" t="s">
        <v>50</v>
      </c>
      <c r="C81" s="12" t="s">
        <v>171</v>
      </c>
      <c r="D81" s="28" t="s">
        <v>183</v>
      </c>
      <c r="E81" s="13" t="s">
        <v>47</v>
      </c>
      <c r="F81" s="13" t="s">
        <v>68</v>
      </c>
      <c r="G81" s="30">
        <v>3</v>
      </c>
      <c r="H81" s="30">
        <v>3</v>
      </c>
      <c r="I81" s="30">
        <f t="shared" ref="I81" si="10">H74-G81</f>
        <v>0</v>
      </c>
      <c r="J81" s="29"/>
      <c r="K81" s="28"/>
    </row>
    <row r="82" spans="1:11" ht="13.2" x14ac:dyDescent="0.25">
      <c r="A82" s="19"/>
      <c r="B82" s="21"/>
      <c r="C82" s="21"/>
      <c r="D82" s="21"/>
      <c r="E82" s="21" t="s">
        <v>17</v>
      </c>
      <c r="F82" s="21"/>
      <c r="G82" s="24" t="b">
        <f>'Worklog_Tasks&amp;Times'!A5312=SUM(G69:G81)</f>
        <v>0</v>
      </c>
      <c r="H82" s="24">
        <f>SUM(H69:H81)</f>
        <v>32</v>
      </c>
      <c r="I82" s="24">
        <f t="shared" si="8"/>
        <v>32</v>
      </c>
      <c r="J82" s="25"/>
      <c r="K82" s="21"/>
    </row>
    <row r="83" spans="1:11" ht="18.75" customHeight="1" x14ac:dyDescent="0.25">
      <c r="A83" s="58" t="s">
        <v>23</v>
      </c>
      <c r="B83" s="56"/>
      <c r="C83" s="56"/>
      <c r="D83" s="56"/>
      <c r="E83" s="56"/>
      <c r="F83" s="56"/>
      <c r="G83" s="56"/>
      <c r="H83" s="56"/>
      <c r="I83" s="56"/>
      <c r="J83" s="56"/>
      <c r="K83" s="57"/>
    </row>
    <row r="84" spans="1:11" ht="13.2" x14ac:dyDescent="0.25">
      <c r="A84" s="38" t="s">
        <v>12</v>
      </c>
      <c r="B84" s="59" t="s">
        <v>13</v>
      </c>
      <c r="C84" s="56"/>
      <c r="D84" s="56"/>
      <c r="E84" s="56"/>
      <c r="F84" s="56"/>
      <c r="G84" s="56"/>
      <c r="H84" s="56"/>
      <c r="I84" s="56"/>
      <c r="J84" s="56"/>
      <c r="K84" s="57"/>
    </row>
    <row r="85" spans="1:11" ht="27.75" customHeight="1" x14ac:dyDescent="0.25">
      <c r="A85" s="39" t="s">
        <v>14</v>
      </c>
      <c r="B85" s="59" t="s">
        <v>15</v>
      </c>
      <c r="C85" s="56"/>
      <c r="D85" s="56"/>
      <c r="E85" s="56"/>
      <c r="F85" s="56"/>
      <c r="G85" s="56"/>
      <c r="H85" s="56"/>
      <c r="I85" s="56"/>
      <c r="J85" s="56"/>
      <c r="K85" s="57"/>
    </row>
    <row r="86" spans="1:11" ht="13.2" x14ac:dyDescent="0.25">
      <c r="A86" s="33">
        <v>45740</v>
      </c>
      <c r="B86" s="28" t="s">
        <v>50</v>
      </c>
      <c r="C86" s="12" t="s">
        <v>134</v>
      </c>
      <c r="D86" s="28" t="s">
        <v>142</v>
      </c>
      <c r="E86" s="13" t="s">
        <v>59</v>
      </c>
      <c r="F86" s="13" t="s">
        <v>67</v>
      </c>
      <c r="G86" s="30">
        <v>3</v>
      </c>
      <c r="H86" s="30">
        <v>3</v>
      </c>
      <c r="I86" s="30">
        <f t="shared" ref="I86:I97" si="11">H86-G86</f>
        <v>0</v>
      </c>
      <c r="J86" s="50" t="s">
        <v>134</v>
      </c>
      <c r="K86" s="28"/>
    </row>
    <row r="87" spans="1:11" ht="13.2" x14ac:dyDescent="0.25">
      <c r="A87" s="33">
        <v>45740</v>
      </c>
      <c r="B87" s="28" t="s">
        <v>50</v>
      </c>
      <c r="C87" s="12" t="s">
        <v>143</v>
      </c>
      <c r="D87" s="28" t="s">
        <v>144</v>
      </c>
      <c r="E87" s="13" t="s">
        <v>59</v>
      </c>
      <c r="F87" s="13" t="s">
        <v>67</v>
      </c>
      <c r="G87" s="30">
        <v>3</v>
      </c>
      <c r="H87" s="30">
        <v>3</v>
      </c>
      <c r="I87" s="30">
        <f t="shared" si="11"/>
        <v>0</v>
      </c>
      <c r="J87" s="48" t="s">
        <v>140</v>
      </c>
      <c r="K87" s="28"/>
    </row>
    <row r="88" spans="1:11" ht="13.2" x14ac:dyDescent="0.25">
      <c r="A88" s="33">
        <v>45741</v>
      </c>
      <c r="B88" s="28" t="s">
        <v>50</v>
      </c>
      <c r="C88" s="12" t="s">
        <v>129</v>
      </c>
      <c r="D88" s="28" t="s">
        <v>145</v>
      </c>
      <c r="E88" s="13" t="s">
        <v>47</v>
      </c>
      <c r="F88" s="13" t="s">
        <v>68</v>
      </c>
      <c r="G88" s="30">
        <v>3</v>
      </c>
      <c r="H88" s="30">
        <v>3</v>
      </c>
      <c r="I88" s="30">
        <f t="shared" si="11"/>
        <v>0</v>
      </c>
      <c r="J88" s="29"/>
      <c r="K88" s="28" t="s">
        <v>235</v>
      </c>
    </row>
    <row r="89" spans="1:11" ht="13.2" x14ac:dyDescent="0.25">
      <c r="A89" s="33">
        <v>45741</v>
      </c>
      <c r="B89" s="28" t="s">
        <v>50</v>
      </c>
      <c r="C89" s="12" t="s">
        <v>53</v>
      </c>
      <c r="D89" s="28" t="s">
        <v>147</v>
      </c>
      <c r="E89" s="13" t="s">
        <v>59</v>
      </c>
      <c r="F89" s="13" t="s">
        <v>64</v>
      </c>
      <c r="G89" s="30">
        <v>4</v>
      </c>
      <c r="H89" s="30">
        <v>4</v>
      </c>
      <c r="I89" s="30">
        <f t="shared" si="11"/>
        <v>0</v>
      </c>
      <c r="J89" s="48" t="s">
        <v>146</v>
      </c>
      <c r="K89" s="28" t="s">
        <v>148</v>
      </c>
    </row>
    <row r="90" spans="1:11" ht="13.2" x14ac:dyDescent="0.25">
      <c r="A90" s="33">
        <v>45742</v>
      </c>
      <c r="B90" s="28" t="s">
        <v>50</v>
      </c>
      <c r="C90" s="12" t="s">
        <v>109</v>
      </c>
      <c r="D90" s="28" t="s">
        <v>149</v>
      </c>
      <c r="E90" s="13" t="s">
        <v>47</v>
      </c>
      <c r="F90" s="13" t="s">
        <v>65</v>
      </c>
      <c r="G90" s="30">
        <v>4</v>
      </c>
      <c r="H90" s="30">
        <v>4</v>
      </c>
      <c r="I90" s="30">
        <f t="shared" si="11"/>
        <v>0</v>
      </c>
      <c r="J90" s="48" t="s">
        <v>109</v>
      </c>
      <c r="K90" s="28"/>
    </row>
    <row r="91" spans="1:11" ht="13.2" x14ac:dyDescent="0.25">
      <c r="A91" s="33">
        <v>45743</v>
      </c>
      <c r="B91" s="28" t="s">
        <v>50</v>
      </c>
      <c r="C91" s="12" t="s">
        <v>150</v>
      </c>
      <c r="D91" s="28" t="s">
        <v>151</v>
      </c>
      <c r="E91" s="13" t="s">
        <v>59</v>
      </c>
      <c r="F91" s="13" t="s">
        <v>69</v>
      </c>
      <c r="G91" s="30">
        <v>3</v>
      </c>
      <c r="H91" s="30">
        <v>3</v>
      </c>
      <c r="I91" s="30">
        <f t="shared" si="11"/>
        <v>0</v>
      </c>
      <c r="J91" s="48" t="s">
        <v>152</v>
      </c>
      <c r="K91" s="28"/>
    </row>
    <row r="92" spans="1:11" ht="13.2" x14ac:dyDescent="0.25">
      <c r="A92" s="33">
        <v>45743</v>
      </c>
      <c r="B92" s="28" t="s">
        <v>50</v>
      </c>
      <c r="C92" s="12" t="s">
        <v>153</v>
      </c>
      <c r="D92" s="28" t="s">
        <v>154</v>
      </c>
      <c r="E92" s="13" t="s">
        <v>43</v>
      </c>
      <c r="F92" s="13" t="s">
        <v>69</v>
      </c>
      <c r="G92" s="30">
        <v>4</v>
      </c>
      <c r="H92" s="30">
        <v>4</v>
      </c>
      <c r="I92" s="30">
        <f>H92-G92</f>
        <v>0</v>
      </c>
      <c r="J92" s="50" t="s">
        <v>155</v>
      </c>
      <c r="K92" s="28" t="s">
        <v>236</v>
      </c>
    </row>
    <row r="93" spans="1:11" ht="13.2" x14ac:dyDescent="0.25">
      <c r="A93" s="33">
        <v>45743</v>
      </c>
      <c r="B93" s="28" t="s">
        <v>50</v>
      </c>
      <c r="C93" s="12" t="s">
        <v>156</v>
      </c>
      <c r="D93" s="28" t="s">
        <v>157</v>
      </c>
      <c r="E93" s="13" t="s">
        <v>56</v>
      </c>
      <c r="F93" s="13" t="s">
        <v>69</v>
      </c>
      <c r="G93" s="30">
        <v>3</v>
      </c>
      <c r="H93" s="30">
        <v>3</v>
      </c>
      <c r="I93" s="30">
        <f t="shared" si="11"/>
        <v>0</v>
      </c>
      <c r="J93" s="48" t="s">
        <v>156</v>
      </c>
      <c r="K93" s="28"/>
    </row>
    <row r="94" spans="1:11" ht="13.2" x14ac:dyDescent="0.25">
      <c r="A94" s="33">
        <v>45744</v>
      </c>
      <c r="B94" s="28" t="s">
        <v>50</v>
      </c>
      <c r="C94" s="12" t="s">
        <v>150</v>
      </c>
      <c r="D94" s="28" t="s">
        <v>152</v>
      </c>
      <c r="E94" s="13" t="s">
        <v>59</v>
      </c>
      <c r="F94" s="13" t="s">
        <v>69</v>
      </c>
      <c r="G94" s="30">
        <v>3</v>
      </c>
      <c r="H94" s="30">
        <v>3</v>
      </c>
      <c r="I94" s="30">
        <f t="shared" si="11"/>
        <v>0</v>
      </c>
      <c r="J94" s="48" t="s">
        <v>158</v>
      </c>
      <c r="K94" s="28"/>
    </row>
    <row r="95" spans="1:11" ht="13.2" x14ac:dyDescent="0.25">
      <c r="A95" s="33">
        <v>45744</v>
      </c>
      <c r="B95" s="28" t="s">
        <v>50</v>
      </c>
      <c r="C95" s="12" t="s">
        <v>156</v>
      </c>
      <c r="D95" s="28" t="s">
        <v>159</v>
      </c>
      <c r="E95" s="13" t="s">
        <v>56</v>
      </c>
      <c r="F95" s="13" t="s">
        <v>69</v>
      </c>
      <c r="G95" s="30">
        <v>3</v>
      </c>
      <c r="H95" s="30">
        <v>3</v>
      </c>
      <c r="I95" s="30">
        <f t="shared" si="11"/>
        <v>0</v>
      </c>
      <c r="J95" s="48" t="s">
        <v>232</v>
      </c>
      <c r="K95" s="28" t="s">
        <v>233</v>
      </c>
    </row>
    <row r="96" spans="1:11" ht="13.2" x14ac:dyDescent="0.25">
      <c r="A96" s="33">
        <v>45744</v>
      </c>
      <c r="B96" s="28" t="s">
        <v>50</v>
      </c>
      <c r="C96" s="12" t="s">
        <v>160</v>
      </c>
      <c r="D96" s="28" t="s">
        <v>161</v>
      </c>
      <c r="E96" s="13" t="s">
        <v>56</v>
      </c>
      <c r="F96" s="13" t="s">
        <v>69</v>
      </c>
      <c r="G96" s="30">
        <v>3</v>
      </c>
      <c r="H96" s="30">
        <v>3</v>
      </c>
      <c r="I96" s="30">
        <f t="shared" si="11"/>
        <v>0</v>
      </c>
      <c r="J96" s="29"/>
      <c r="K96" s="28" t="s">
        <v>234</v>
      </c>
    </row>
    <row r="97" spans="1:11" ht="13.2" x14ac:dyDescent="0.25">
      <c r="A97" s="19"/>
      <c r="B97" s="21"/>
      <c r="C97" s="21"/>
      <c r="D97" s="21"/>
      <c r="E97" s="21" t="s">
        <v>17</v>
      </c>
      <c r="F97" s="21"/>
      <c r="G97" s="24">
        <f>SUM(G86:G96)</f>
        <v>36</v>
      </c>
      <c r="H97" s="24">
        <f>SUM(H86:H96)</f>
        <v>36</v>
      </c>
      <c r="I97" s="24">
        <f t="shared" si="11"/>
        <v>0</v>
      </c>
      <c r="J97" s="25"/>
      <c r="K97" s="21"/>
    </row>
    <row r="98" spans="1:11" ht="18.75" customHeight="1" x14ac:dyDescent="0.25">
      <c r="A98" s="60" t="s">
        <v>24</v>
      </c>
      <c r="B98" s="56"/>
      <c r="C98" s="56"/>
      <c r="D98" s="56"/>
      <c r="E98" s="56"/>
      <c r="F98" s="56"/>
      <c r="G98" s="56"/>
      <c r="H98" s="56"/>
      <c r="I98" s="56"/>
      <c r="J98" s="56"/>
      <c r="K98" s="57"/>
    </row>
    <row r="99" spans="1:11" ht="13.2" x14ac:dyDescent="0.25">
      <c r="A99" s="40" t="s">
        <v>12</v>
      </c>
      <c r="B99" s="61" t="s">
        <v>13</v>
      </c>
      <c r="C99" s="56"/>
      <c r="D99" s="56"/>
      <c r="E99" s="56"/>
      <c r="F99" s="56"/>
      <c r="G99" s="56"/>
      <c r="H99" s="56"/>
      <c r="I99" s="56"/>
      <c r="J99" s="56"/>
      <c r="K99" s="57"/>
    </row>
    <row r="100" spans="1:11" ht="28.5" customHeight="1" x14ac:dyDescent="0.25">
      <c r="A100" s="41" t="s">
        <v>14</v>
      </c>
      <c r="B100" s="61" t="s">
        <v>15</v>
      </c>
      <c r="C100" s="56"/>
      <c r="D100" s="56"/>
      <c r="E100" s="56"/>
      <c r="F100" s="56"/>
      <c r="G100" s="56"/>
      <c r="H100" s="56"/>
      <c r="I100" s="56"/>
      <c r="J100" s="56"/>
      <c r="K100" s="57"/>
    </row>
    <row r="101" spans="1:11" ht="13.2" x14ac:dyDescent="0.25">
      <c r="A101" s="33">
        <v>45747</v>
      </c>
      <c r="B101" s="28" t="s">
        <v>50</v>
      </c>
      <c r="C101" s="12" t="s">
        <v>131</v>
      </c>
      <c r="D101" s="28" t="s">
        <v>132</v>
      </c>
      <c r="E101" s="13" t="s">
        <v>59</v>
      </c>
      <c r="F101" s="13" t="s">
        <v>65</v>
      </c>
      <c r="G101" s="30">
        <v>3</v>
      </c>
      <c r="H101" s="30">
        <v>3</v>
      </c>
      <c r="I101" s="30">
        <f t="shared" ref="I101:I111" si="12">H101-G101</f>
        <v>0</v>
      </c>
      <c r="J101" s="48" t="s">
        <v>131</v>
      </c>
      <c r="K101" s="28" t="s">
        <v>133</v>
      </c>
    </row>
    <row r="102" spans="1:11" ht="13.2" x14ac:dyDescent="0.25">
      <c r="A102" s="33">
        <v>45747</v>
      </c>
      <c r="B102" s="28" t="s">
        <v>50</v>
      </c>
      <c r="C102" s="12" t="s">
        <v>134</v>
      </c>
      <c r="D102" s="28" t="s">
        <v>135</v>
      </c>
      <c r="E102" s="13" t="s">
        <v>59</v>
      </c>
      <c r="F102" s="13" t="s">
        <v>65</v>
      </c>
      <c r="G102" s="30">
        <v>1</v>
      </c>
      <c r="H102" s="30">
        <v>1</v>
      </c>
      <c r="I102" s="30">
        <f t="shared" si="12"/>
        <v>0</v>
      </c>
      <c r="J102" s="48" t="s">
        <v>136</v>
      </c>
      <c r="K102" s="28"/>
    </row>
    <row r="103" spans="1:11" ht="13.2" x14ac:dyDescent="0.25">
      <c r="A103" s="33">
        <v>45747</v>
      </c>
      <c r="B103" s="28" t="s">
        <v>50</v>
      </c>
      <c r="C103" s="12" t="s">
        <v>115</v>
      </c>
      <c r="D103" s="28" t="s">
        <v>137</v>
      </c>
      <c r="E103" s="13" t="s">
        <v>59</v>
      </c>
      <c r="F103" s="13" t="s">
        <v>65</v>
      </c>
      <c r="G103" s="30">
        <v>1</v>
      </c>
      <c r="H103" s="30">
        <v>1</v>
      </c>
      <c r="I103" s="30">
        <f t="shared" si="12"/>
        <v>0</v>
      </c>
      <c r="J103" s="48" t="s">
        <v>138</v>
      </c>
      <c r="K103" s="28" t="s">
        <v>139</v>
      </c>
    </row>
    <row r="104" spans="1:11" ht="13.2" x14ac:dyDescent="0.25">
      <c r="A104" s="33">
        <v>45748</v>
      </c>
      <c r="B104" s="28" t="s">
        <v>50</v>
      </c>
      <c r="C104" s="12" t="s">
        <v>140</v>
      </c>
      <c r="D104" s="28" t="s">
        <v>141</v>
      </c>
      <c r="E104" s="13" t="s">
        <v>53</v>
      </c>
      <c r="F104" s="13" t="s">
        <v>65</v>
      </c>
      <c r="G104" s="30">
        <v>4</v>
      </c>
      <c r="H104" s="30">
        <v>4</v>
      </c>
      <c r="I104" s="30">
        <f t="shared" si="12"/>
        <v>0</v>
      </c>
      <c r="J104" s="29"/>
      <c r="K104" s="28"/>
    </row>
    <row r="105" spans="1:11" ht="13.2" x14ac:dyDescent="0.25">
      <c r="A105" s="33">
        <v>45749</v>
      </c>
      <c r="B105" s="28" t="s">
        <v>50</v>
      </c>
      <c r="C105" s="12" t="s">
        <v>237</v>
      </c>
      <c r="D105" s="28" t="s">
        <v>238</v>
      </c>
      <c r="E105" s="13" t="s">
        <v>59</v>
      </c>
      <c r="F105" s="13" t="s">
        <v>65</v>
      </c>
      <c r="G105" s="30">
        <v>4</v>
      </c>
      <c r="H105" s="30">
        <v>4</v>
      </c>
      <c r="I105" s="30">
        <f t="shared" si="12"/>
        <v>0</v>
      </c>
      <c r="J105" s="48" t="s">
        <v>239</v>
      </c>
      <c r="K105" s="28" t="s">
        <v>241</v>
      </c>
    </row>
    <row r="106" spans="1:11" ht="13.2" x14ac:dyDescent="0.25">
      <c r="A106" s="33">
        <v>45749</v>
      </c>
      <c r="B106" s="28" t="s">
        <v>50</v>
      </c>
      <c r="C106" s="12" t="s">
        <v>109</v>
      </c>
      <c r="D106" s="28" t="s">
        <v>240</v>
      </c>
      <c r="E106" s="13" t="s">
        <v>47</v>
      </c>
      <c r="F106" s="13" t="s">
        <v>68</v>
      </c>
      <c r="G106" s="30">
        <v>4</v>
      </c>
      <c r="H106" s="30">
        <v>4</v>
      </c>
      <c r="I106" s="30">
        <f t="shared" si="12"/>
        <v>0</v>
      </c>
      <c r="J106" s="48" t="s">
        <v>109</v>
      </c>
      <c r="K106" s="28" t="s">
        <v>242</v>
      </c>
    </row>
    <row r="107" spans="1:11" ht="13.2" x14ac:dyDescent="0.25">
      <c r="A107" s="33">
        <v>45749</v>
      </c>
      <c r="B107" s="28" t="s">
        <v>50</v>
      </c>
      <c r="C107" s="12" t="s">
        <v>210</v>
      </c>
      <c r="D107" s="28" t="s">
        <v>243</v>
      </c>
      <c r="E107" s="13" t="s">
        <v>51</v>
      </c>
      <c r="F107" s="13" t="s">
        <v>64</v>
      </c>
      <c r="G107" s="30">
        <v>2</v>
      </c>
      <c r="H107" s="30">
        <v>2</v>
      </c>
      <c r="I107" s="30">
        <f t="shared" si="12"/>
        <v>0</v>
      </c>
      <c r="J107" s="29"/>
      <c r="K107" s="28"/>
    </row>
    <row r="108" spans="1:11" ht="13.2" x14ac:dyDescent="0.25">
      <c r="A108" s="33">
        <v>45750</v>
      </c>
      <c r="B108" s="28" t="s">
        <v>50</v>
      </c>
      <c r="C108" s="12" t="s">
        <v>244</v>
      </c>
      <c r="D108" s="28" t="s">
        <v>245</v>
      </c>
      <c r="E108" s="13" t="s">
        <v>59</v>
      </c>
      <c r="F108" s="13" t="s">
        <v>65</v>
      </c>
      <c r="G108" s="30">
        <v>4</v>
      </c>
      <c r="H108" s="30">
        <v>4</v>
      </c>
      <c r="I108" s="30">
        <f t="shared" si="12"/>
        <v>0</v>
      </c>
      <c r="J108" s="48" t="s">
        <v>246</v>
      </c>
      <c r="K108" s="28"/>
    </row>
    <row r="109" spans="1:11" ht="13.2" x14ac:dyDescent="0.25">
      <c r="A109" s="33">
        <v>45751</v>
      </c>
      <c r="B109" s="28" t="s">
        <v>50</v>
      </c>
      <c r="C109" s="12" t="s">
        <v>247</v>
      </c>
      <c r="D109" s="28" t="s">
        <v>248</v>
      </c>
      <c r="E109" s="13" t="s">
        <v>59</v>
      </c>
      <c r="F109" s="13" t="s">
        <v>65</v>
      </c>
      <c r="G109" s="30">
        <v>5</v>
      </c>
      <c r="H109" s="30">
        <v>5</v>
      </c>
      <c r="I109" s="30">
        <f t="shared" si="12"/>
        <v>0</v>
      </c>
      <c r="J109" s="48" t="s">
        <v>249</v>
      </c>
      <c r="K109" s="28" t="s">
        <v>250</v>
      </c>
    </row>
    <row r="110" spans="1:11" ht="13.2" x14ac:dyDescent="0.25">
      <c r="A110" s="33"/>
      <c r="B110" s="28"/>
      <c r="C110" s="12" t="s">
        <v>16</v>
      </c>
      <c r="D110" s="28"/>
      <c r="E110" s="13"/>
      <c r="F110" s="13"/>
      <c r="G110" s="30"/>
      <c r="H110" s="30"/>
      <c r="I110" s="30">
        <f t="shared" si="12"/>
        <v>0</v>
      </c>
      <c r="J110" s="29"/>
      <c r="K110" s="28"/>
    </row>
    <row r="111" spans="1:11" ht="13.2" x14ac:dyDescent="0.25">
      <c r="A111" s="19"/>
      <c r="B111" s="21"/>
      <c r="C111" s="21"/>
      <c r="D111" s="21"/>
      <c r="E111" s="21" t="s">
        <v>17</v>
      </c>
      <c r="F111" s="21"/>
      <c r="G111" s="24">
        <f t="shared" ref="G111:H111" si="13">SUM(G101:G110)</f>
        <v>28</v>
      </c>
      <c r="H111" s="24">
        <f t="shared" si="13"/>
        <v>28</v>
      </c>
      <c r="I111" s="24">
        <f t="shared" si="12"/>
        <v>0</v>
      </c>
      <c r="J111" s="25"/>
      <c r="K111" s="21"/>
    </row>
    <row r="112" spans="1:11" ht="13.2" x14ac:dyDescent="0.25">
      <c r="A112" s="64" t="s">
        <v>25</v>
      </c>
      <c r="B112" s="56"/>
      <c r="C112" s="56"/>
      <c r="D112" s="56"/>
      <c r="E112" s="56"/>
      <c r="F112" s="56"/>
      <c r="G112" s="56"/>
      <c r="H112" s="56"/>
      <c r="I112" s="56"/>
      <c r="J112" s="56"/>
      <c r="K112" s="57"/>
    </row>
    <row r="113" spans="1:11" ht="13.2" x14ac:dyDescent="0.25">
      <c r="A113" s="42" t="s">
        <v>12</v>
      </c>
      <c r="B113" s="51" t="s">
        <v>13</v>
      </c>
      <c r="C113" s="52"/>
      <c r="D113" s="52"/>
      <c r="E113" s="52"/>
      <c r="F113" s="52"/>
      <c r="G113" s="52"/>
      <c r="H113" s="52"/>
      <c r="I113" s="52"/>
      <c r="J113" s="52"/>
      <c r="K113" s="53"/>
    </row>
    <row r="114" spans="1:11" ht="27.75" customHeight="1" x14ac:dyDescent="0.25">
      <c r="A114" s="43" t="s">
        <v>14</v>
      </c>
      <c r="B114" s="54" t="s">
        <v>15</v>
      </c>
      <c r="C114" s="52"/>
      <c r="D114" s="52"/>
      <c r="E114" s="52"/>
      <c r="F114" s="52"/>
      <c r="G114" s="52"/>
      <c r="H114" s="52"/>
      <c r="I114" s="52"/>
      <c r="J114" s="52"/>
      <c r="K114" s="53"/>
    </row>
    <row r="115" spans="1:11" ht="13.2" x14ac:dyDescent="0.25">
      <c r="A115" s="33">
        <v>45754</v>
      </c>
      <c r="B115" s="28" t="s">
        <v>50</v>
      </c>
      <c r="C115" s="12" t="s">
        <v>251</v>
      </c>
      <c r="D115" s="28" t="s">
        <v>252</v>
      </c>
      <c r="E115" s="13" t="s">
        <v>51</v>
      </c>
      <c r="F115" s="13" t="s">
        <v>69</v>
      </c>
      <c r="G115" s="30">
        <v>4</v>
      </c>
      <c r="H115" s="30">
        <v>4</v>
      </c>
      <c r="I115" s="30">
        <f t="shared" ref="I115:I125" si="14">H115-G115</f>
        <v>0</v>
      </c>
      <c r="J115" s="48" t="s">
        <v>251</v>
      </c>
      <c r="K115" s="28"/>
    </row>
    <row r="116" spans="1:11" ht="13.2" x14ac:dyDescent="0.25">
      <c r="A116" s="33"/>
      <c r="B116" s="28" t="s">
        <v>50</v>
      </c>
      <c r="C116" s="12" t="s">
        <v>253</v>
      </c>
      <c r="D116" s="28" t="s">
        <v>254</v>
      </c>
      <c r="E116" s="13" t="s">
        <v>51</v>
      </c>
      <c r="F116" s="13" t="s">
        <v>69</v>
      </c>
      <c r="G116" s="30">
        <v>3</v>
      </c>
      <c r="H116" s="30">
        <v>3</v>
      </c>
      <c r="I116" s="30">
        <f t="shared" si="14"/>
        <v>0</v>
      </c>
      <c r="J116" s="48" t="s">
        <v>255</v>
      </c>
      <c r="K116" s="28" t="s">
        <v>256</v>
      </c>
    </row>
    <row r="117" spans="1:11" ht="13.2" x14ac:dyDescent="0.25">
      <c r="A117" s="33">
        <v>45755</v>
      </c>
      <c r="B117" s="28" t="s">
        <v>50</v>
      </c>
      <c r="C117" s="12" t="s">
        <v>140</v>
      </c>
      <c r="D117" s="28" t="s">
        <v>257</v>
      </c>
      <c r="E117" s="13" t="s">
        <v>51</v>
      </c>
      <c r="F117" s="13" t="s">
        <v>69</v>
      </c>
      <c r="G117" s="30">
        <v>7</v>
      </c>
      <c r="H117" s="30">
        <v>7</v>
      </c>
      <c r="I117" s="30">
        <f t="shared" si="14"/>
        <v>0</v>
      </c>
      <c r="J117" s="29"/>
      <c r="K117" s="28" t="s">
        <v>258</v>
      </c>
    </row>
    <row r="118" spans="1:11" ht="13.2" x14ac:dyDescent="0.25">
      <c r="A118" s="33">
        <v>45756</v>
      </c>
      <c r="B118" s="28" t="s">
        <v>50</v>
      </c>
      <c r="C118" s="12" t="s">
        <v>259</v>
      </c>
      <c r="D118" s="28" t="s">
        <v>260</v>
      </c>
      <c r="E118" s="13" t="s">
        <v>56</v>
      </c>
      <c r="F118" s="13" t="s">
        <v>69</v>
      </c>
      <c r="G118" s="30">
        <v>2</v>
      </c>
      <c r="H118" s="30">
        <v>2</v>
      </c>
      <c r="I118" s="30">
        <f t="shared" si="14"/>
        <v>0</v>
      </c>
      <c r="J118" s="48" t="s">
        <v>273</v>
      </c>
      <c r="K118" s="28" t="s">
        <v>261</v>
      </c>
    </row>
    <row r="119" spans="1:11" ht="13.2" x14ac:dyDescent="0.25">
      <c r="A119" s="33">
        <v>45757</v>
      </c>
      <c r="B119" s="28" t="s">
        <v>50</v>
      </c>
      <c r="C119" s="12" t="s">
        <v>262</v>
      </c>
      <c r="D119" s="28" t="s">
        <v>263</v>
      </c>
      <c r="E119" s="13" t="s">
        <v>56</v>
      </c>
      <c r="F119" s="13" t="s">
        <v>63</v>
      </c>
      <c r="G119" s="30">
        <v>3</v>
      </c>
      <c r="H119" s="30">
        <v>3</v>
      </c>
      <c r="I119" s="30">
        <f t="shared" si="14"/>
        <v>0</v>
      </c>
      <c r="J119" s="29"/>
      <c r="K119" s="28" t="s">
        <v>264</v>
      </c>
    </row>
    <row r="120" spans="1:11" ht="13.2" x14ac:dyDescent="0.25">
      <c r="A120" s="33">
        <v>45757</v>
      </c>
      <c r="B120" s="28" t="s">
        <v>50</v>
      </c>
      <c r="C120" s="12" t="s">
        <v>265</v>
      </c>
      <c r="D120" s="28" t="s">
        <v>266</v>
      </c>
      <c r="E120" s="13" t="s">
        <v>59</v>
      </c>
      <c r="F120" s="13" t="s">
        <v>68</v>
      </c>
      <c r="G120" s="30">
        <v>4</v>
      </c>
      <c r="H120" s="30">
        <v>4</v>
      </c>
      <c r="I120" s="30">
        <f t="shared" si="14"/>
        <v>0</v>
      </c>
      <c r="J120" s="48" t="s">
        <v>272</v>
      </c>
      <c r="K120" s="28" t="s">
        <v>267</v>
      </c>
    </row>
    <row r="121" spans="1:11" ht="13.2" x14ac:dyDescent="0.25">
      <c r="A121" s="33">
        <v>45757</v>
      </c>
      <c r="B121" s="28" t="s">
        <v>50</v>
      </c>
      <c r="C121" s="12" t="s">
        <v>81</v>
      </c>
      <c r="D121" s="28" t="s">
        <v>268</v>
      </c>
      <c r="E121" s="13" t="s">
        <v>43</v>
      </c>
      <c r="F121" s="13" t="s">
        <v>67</v>
      </c>
      <c r="G121" s="30">
        <v>4</v>
      </c>
      <c r="H121" s="30">
        <v>4</v>
      </c>
      <c r="I121" s="30">
        <f t="shared" si="14"/>
        <v>0</v>
      </c>
      <c r="J121" s="48" t="s">
        <v>271</v>
      </c>
      <c r="K121" s="28"/>
    </row>
    <row r="122" spans="1:11" ht="13.2" x14ac:dyDescent="0.25">
      <c r="A122" s="33">
        <v>45757</v>
      </c>
      <c r="B122" s="28" t="s">
        <v>50</v>
      </c>
      <c r="C122" s="12" t="s">
        <v>56</v>
      </c>
      <c r="D122" s="28" t="s">
        <v>269</v>
      </c>
      <c r="E122" s="13" t="s">
        <v>56</v>
      </c>
      <c r="F122" s="13"/>
      <c r="G122" s="30">
        <v>3</v>
      </c>
      <c r="H122" s="30">
        <v>3</v>
      </c>
      <c r="I122" s="30">
        <f t="shared" si="14"/>
        <v>0</v>
      </c>
      <c r="J122" s="29"/>
      <c r="K122" s="28" t="s">
        <v>270</v>
      </c>
    </row>
    <row r="123" spans="1:11" ht="13.2" x14ac:dyDescent="0.25">
      <c r="A123" s="33"/>
      <c r="B123" s="28"/>
      <c r="C123" s="12" t="s">
        <v>16</v>
      </c>
      <c r="D123" s="28"/>
      <c r="E123" s="13"/>
      <c r="F123" s="13"/>
      <c r="G123" s="30"/>
      <c r="H123" s="30"/>
      <c r="I123" s="30">
        <f t="shared" si="14"/>
        <v>0</v>
      </c>
      <c r="J123" s="29"/>
      <c r="K123" s="28"/>
    </row>
    <row r="124" spans="1:11" ht="13.2" x14ac:dyDescent="0.25">
      <c r="A124" s="33"/>
      <c r="B124" s="28"/>
      <c r="C124" s="12" t="s">
        <v>16</v>
      </c>
      <c r="D124" s="28"/>
      <c r="E124" s="13"/>
      <c r="F124" s="13"/>
      <c r="G124" s="30"/>
      <c r="H124" s="30"/>
      <c r="I124" s="30">
        <f t="shared" si="14"/>
        <v>0</v>
      </c>
      <c r="J124" s="29"/>
      <c r="K124" s="28"/>
    </row>
    <row r="125" spans="1:11" ht="13.2" x14ac:dyDescent="0.25">
      <c r="A125" s="19"/>
      <c r="B125" s="21"/>
      <c r="C125" s="21"/>
      <c r="D125" s="21"/>
      <c r="E125" s="21" t="s">
        <v>17</v>
      </c>
      <c r="F125" s="21"/>
      <c r="G125" s="24">
        <f t="shared" ref="G125:H125" si="15">SUM(G115:G124)</f>
        <v>30</v>
      </c>
      <c r="H125" s="24">
        <f t="shared" si="15"/>
        <v>30</v>
      </c>
      <c r="I125" s="24">
        <f t="shared" si="14"/>
        <v>0</v>
      </c>
      <c r="J125" s="25"/>
      <c r="K125" s="21"/>
    </row>
    <row r="126" spans="1:11" ht="13.2" x14ac:dyDescent="0.25">
      <c r="G126" s="44"/>
      <c r="H126" s="44"/>
      <c r="I126" s="30"/>
    </row>
    <row r="127" spans="1:11" ht="13.2" x14ac:dyDescent="0.25">
      <c r="E127" s="45" t="s">
        <v>26</v>
      </c>
      <c r="F127" s="45"/>
      <c r="G127" s="46">
        <f>G17+G35+G49+G65+G82+G97+G111+G125</f>
        <v>216</v>
      </c>
      <c r="H127" s="46">
        <f>H17+H35+H49+H65+H82+H97+H111+H125</f>
        <v>251</v>
      </c>
      <c r="I127" s="46">
        <f>H127-G127</f>
        <v>35</v>
      </c>
    </row>
  </sheetData>
  <autoFilter ref="A1:K17" xr:uid="{00000000-0009-0000-0000-000000000000}"/>
  <customSheetViews>
    <customSheetView guid="{8BAC9A6B-5D32-4E8D-967D-E17D357516F8}" filter="1" showAutoFilter="1">
      <pageMargins left="0" right="0" top="0" bottom="0" header="0" footer="0"/>
      <autoFilter ref="A1:K15" xr:uid="{DFDF1C8C-6852-4E20-A413-14C9F38AD75A}">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A2:K2"/>
    <mergeCell ref="B3:K3"/>
    <mergeCell ref="B4:K4"/>
    <mergeCell ref="A18:K18"/>
    <mergeCell ref="B19:K19"/>
    <mergeCell ref="B20:K20"/>
    <mergeCell ref="A36:K36"/>
    <mergeCell ref="B37:K37"/>
    <mergeCell ref="B38:K38"/>
    <mergeCell ref="A50:K50"/>
    <mergeCell ref="B51:K51"/>
    <mergeCell ref="B52:K52"/>
    <mergeCell ref="A66:K66"/>
    <mergeCell ref="B67:K67"/>
    <mergeCell ref="A112:K112"/>
    <mergeCell ref="B113:K113"/>
    <mergeCell ref="B114:K114"/>
    <mergeCell ref="B68:K68"/>
    <mergeCell ref="A83:K83"/>
    <mergeCell ref="B84:K84"/>
    <mergeCell ref="B85:K85"/>
    <mergeCell ref="A98:K98"/>
    <mergeCell ref="B99:K99"/>
    <mergeCell ref="B100:K100"/>
  </mergeCells>
  <phoneticPr fontId="15" type="noConversion"/>
  <conditionalFormatting sqref="B5:B16 B19:B34 B39:B48 B53:B64 B69:B81 B86:B96 B101:B110 B115:B124">
    <cfRule type="containsText" dxfId="10" priority="1" operator="containsText" text="Unplanned">
      <formula>NOT(ISERROR(SEARCH(("Unplanned"),(B5))))</formula>
    </cfRule>
    <cfRule type="containsText" dxfId="9" priority="2" operator="containsText" text="Planned">
      <formula>NOT(ISERROR(SEARCH(("Planned"),(B5))))</formula>
    </cfRule>
    <cfRule type="containsText" dxfId="8" priority="3" operator="containsText" text="In-Progress">
      <formula>NOT(ISERROR(SEARCH(("In-Progress"),(B5))))</formula>
    </cfRule>
    <cfRule type="containsText" dxfId="7" priority="4" operator="containsText" text="Blocked">
      <formula>NOT(ISERROR(SEARCH(("Blocked"),(B5))))</formula>
    </cfRule>
    <cfRule type="containsText" dxfId="6" priority="5" operator="containsText" text="Done">
      <formula>NOT(ISERROR(SEARCH(("Done"),(B5))))</formula>
    </cfRule>
  </conditionalFormatting>
  <conditionalFormatting sqref="B5:B17 B19:B35 B37:B49 B51:B65 B67:B82 B84:B97 B99:B111 B113:B124">
    <cfRule type="containsText" dxfId="5" priority="6" operator="containsText" text="Unplanned">
      <formula>NOT(ISERROR(SEARCH(("Unplanned"),(B5))))</formula>
    </cfRule>
    <cfRule type="containsText" dxfId="4" priority="7" operator="containsText" text="Cancelled">
      <formula>NOT(ISERROR(SEARCH(("Cancelled"),(B5))))</formula>
    </cfRule>
  </conditionalFormatting>
  <conditionalFormatting sqref="G1 G3:G17 G21:G35 G39:G49 G53:G65 G69:G82 G86:G97 G101:G111 G115:G127">
    <cfRule type="cellIs" dxfId="3" priority="10" operator="greaterThan">
      <formula>4</formula>
    </cfRule>
  </conditionalFormatting>
  <conditionalFormatting sqref="H1:H127">
    <cfRule type="containsBlanks" dxfId="2" priority="11">
      <formula>LEN(TRIM(H1))=0</formula>
    </cfRule>
  </conditionalFormatting>
  <conditionalFormatting sqref="I5:I17 I21:I35 I39:I49 I53:I65 I69:I82 I86:I97 I101:I111 I115:I127">
    <cfRule type="expression" dxfId="1" priority="8">
      <formula>H5/G5&gt;=1.5</formula>
    </cfRule>
    <cfRule type="expression" dxfId="0" priority="9">
      <formula>H5/G5&lt;=0.5</formula>
    </cfRule>
  </conditionalFormatting>
  <hyperlinks>
    <hyperlink ref="J5" r:id="rId1" xr:uid="{D0EFD367-7408-4D73-AB60-F396435556E5}"/>
    <hyperlink ref="J6" r:id="rId2" xr:uid="{7342632F-AF12-457F-B1DA-C8C5C4E93701}"/>
    <hyperlink ref="J7" r:id="rId3" xr:uid="{F76061C4-3B83-4BF8-9514-44F8F37480D8}"/>
    <hyperlink ref="J9" r:id="rId4" xr:uid="{5A4C2E72-F3D5-445D-8238-48E43208F2E2}"/>
    <hyperlink ref="J10" r:id="rId5" xr:uid="{BFD25DCF-F290-4E20-9F96-4DBCC8F67E3A}"/>
    <hyperlink ref="J11" r:id="rId6" xr:uid="{68ED4B8B-A362-4BFB-8A1B-747C41BEA2A9}"/>
    <hyperlink ref="J12" r:id="rId7" xr:uid="{BEE565D6-E7E9-4274-94A0-BEB331C133D6}"/>
    <hyperlink ref="J13" r:id="rId8" xr:uid="{DA1FA94D-9E8B-423D-A528-4B3BE3DC54A2}"/>
    <hyperlink ref="J14" r:id="rId9" xr:uid="{9C38B354-E258-4998-95C0-E3BAA971B186}"/>
    <hyperlink ref="J16" r:id="rId10" xr:uid="{5A66E748-F2ED-4E4A-BEB6-F00CF6F9427D}"/>
    <hyperlink ref="J15" r:id="rId11" xr:uid="{FE217F7E-9CC7-4665-B551-1CA9D6CF4881}"/>
    <hyperlink ref="J21" r:id="rId12" xr:uid="{3058D1A5-27D4-48A4-A091-FC31290D5B91}"/>
    <hyperlink ref="J22" r:id="rId13" xr:uid="{9AA4001D-42F4-44D0-A569-D23747E2366F}"/>
    <hyperlink ref="J23" r:id="rId14" xr:uid="{625C3E32-5CB2-4911-8C10-26700AA85E3A}"/>
    <hyperlink ref="J24" r:id="rId15" xr:uid="{D07DBAFF-88FF-4963-A7B1-3E00B23C687E}"/>
    <hyperlink ref="J26" r:id="rId16" xr:uid="{1816899E-BA04-40D2-AE05-D7D37D3399B9}"/>
    <hyperlink ref="J32" r:id="rId17" xr:uid="{276DCC2E-9659-4C23-92B3-73AA006910D1}"/>
    <hyperlink ref="J30" r:id="rId18" xr:uid="{272A35EB-7D96-44CB-B579-FDA36410DE42}"/>
    <hyperlink ref="J28" r:id="rId19" xr:uid="{2242646B-D7E5-4F0E-B1D1-EED6DA5B760F}"/>
    <hyperlink ref="J31" r:id="rId20" display="Tuesday Quizz" xr:uid="{6B6CE14A-7FCC-4600-B206-0EECC9B700E9}"/>
    <hyperlink ref="J33:J34" r:id="rId21" display="Practical Assignment" xr:uid="{B4D35E66-0141-4133-9CD9-A7A39293F6B6}"/>
    <hyperlink ref="J101" r:id="rId22" xr:uid="{7A9D0139-C05E-45AE-AE0F-EA1F2F263CFD}"/>
    <hyperlink ref="J102" r:id="rId23" xr:uid="{A3242919-3F11-4426-B916-91A2A6B508E2}"/>
    <hyperlink ref="J103" r:id="rId24" xr:uid="{D5C80239-FFEA-441E-8ADE-BABAD701D2CF}"/>
    <hyperlink ref="J87" r:id="rId25" xr:uid="{C0EE056D-0FBA-4B80-8528-01A873BA9A7C}"/>
    <hyperlink ref="J86" r:id="rId26" xr:uid="{2D7B8FA1-6510-4D59-89B5-3F9EA9EFA5D6}"/>
    <hyperlink ref="J89" r:id="rId27" xr:uid="{9DED1CA3-89DF-4E28-B296-1AF394208B4A}"/>
    <hyperlink ref="J90" r:id="rId28" xr:uid="{F81C6F35-C438-4CAB-AF82-DE330ACF74D7}"/>
    <hyperlink ref="J91" r:id="rId29" xr:uid="{DA6A8A0F-CB5B-4148-A2D1-65F922DAB5B7}"/>
    <hyperlink ref="J92" r:id="rId30" display="https://www.figma.com/design/HYwpD4UfE71QAn0oGkfRd1/Block-C?node-id=0-1&amp;t=Qs5CaJvJEy60nCVg-1" xr:uid="{21CFD5F2-EB4F-4B2B-9500-D7602AAFCED9}"/>
    <hyperlink ref="J93" r:id="rId31" xr:uid="{D2A8E12F-CC03-4E7E-9255-A26F372D9CD1}"/>
    <hyperlink ref="J94" r:id="rId32" xr:uid="{9FCEE2AC-C1BC-4E42-A6AA-E17A5FBC130D}"/>
    <hyperlink ref="J69" r:id="rId33" xr:uid="{5CA5C999-00CD-4239-AABA-1CEBBB0461F4}"/>
    <hyperlink ref="J71" r:id="rId34" xr:uid="{7A356648-AB90-4D23-81B6-B71E81A1859B}"/>
    <hyperlink ref="J72" r:id="rId35" xr:uid="{3176A3B2-797F-4E68-83E7-EDD545F3066F}"/>
    <hyperlink ref="J73" r:id="rId36" xr:uid="{7EE79F98-9019-4232-9A16-0DF2F31DD167}"/>
    <hyperlink ref="J74" r:id="rId37" xr:uid="{AF65EFDD-E609-4BB4-8244-7F57B526CBD5}"/>
    <hyperlink ref="J76" r:id="rId38" xr:uid="{289FCD00-C86F-4603-892A-82F77D371A2F}"/>
    <hyperlink ref="J77" r:id="rId39" xr:uid="{ED618CA2-5925-4440-8FA6-CD366B90C7B1}"/>
    <hyperlink ref="J79" r:id="rId40" xr:uid="{AD623080-0C8B-42CF-84A6-4371DA64C146}"/>
    <hyperlink ref="J53" r:id="rId41" xr:uid="{A1532B3E-323A-4888-8F57-67084968841C}"/>
    <hyperlink ref="J57" r:id="rId42" xr:uid="{0024B2F7-0EAD-422D-9071-F80DE52ECF46}"/>
    <hyperlink ref="J58" r:id="rId43" xr:uid="{42D8474F-7484-4B95-AA9B-9628A94EA28E}"/>
    <hyperlink ref="J59" r:id="rId44" xr:uid="{B9A7D989-74A4-4633-867B-C1F15A1E2FDD}"/>
    <hyperlink ref="J60" r:id="rId45" xr:uid="{430DD1F9-9CBC-4BDF-B717-E746710AD5AA}"/>
    <hyperlink ref="J63" r:id="rId46" xr:uid="{29D19AB3-D224-4538-BE89-2536D6EC723A}"/>
    <hyperlink ref="J62" r:id="rId47" xr:uid="{8729ED25-0541-468E-B7D8-C418A7DC472D}"/>
    <hyperlink ref="J39" r:id="rId48" xr:uid="{A69F513E-1637-4163-BFD3-1E7DA8EAF018}"/>
    <hyperlink ref="J45" r:id="rId49" xr:uid="{D3B4E880-6922-4549-97AB-EC3BEF86389C}"/>
    <hyperlink ref="J46" r:id="rId50" xr:uid="{EE736E5B-1889-42C7-930F-3DEB0ADF4625}"/>
    <hyperlink ref="J95" r:id="rId51" xr:uid="{51F95261-BCA0-40AD-B061-CDD8E405F0D4}"/>
    <hyperlink ref="J105" r:id="rId52" xr:uid="{4B0B70D3-C049-421C-BAD1-11EA244619DB}"/>
    <hyperlink ref="J106" r:id="rId53" xr:uid="{CC684DB9-C53F-4D92-A123-1B5956515F4B}"/>
    <hyperlink ref="J108" r:id="rId54" xr:uid="{71C1B7F4-CA56-479D-8145-86B9DC5F7084}"/>
    <hyperlink ref="J109" r:id="rId55" xr:uid="{7FAB6A79-43BE-46BF-9DE9-01A0045A096D}"/>
    <hyperlink ref="J115" r:id="rId56" xr:uid="{0879CEA1-03FB-4859-8B28-64049A544B48}"/>
    <hyperlink ref="J116" r:id="rId57" xr:uid="{92D2499C-2379-40FA-8C16-4402ED54CDC3}"/>
    <hyperlink ref="J121" r:id="rId58" xr:uid="{CAC99295-BA94-4F4C-B259-EB40CCC3BCE3}"/>
    <hyperlink ref="J120" r:id="rId59" xr:uid="{68F8BD57-8DFA-4507-A696-E7B6035B6C1C}"/>
    <hyperlink ref="J118" r:id="rId60" xr:uid="{00BC6735-1650-42EA-9323-D0D825985C9F}"/>
  </hyperlinks>
  <pageMargins left="0.7" right="0.7" top="0.75" bottom="0.75" header="0.3" footer="0.3"/>
  <pageSetup paperSize="9" scale="52" fitToHeight="0" orientation="landscape" horizontalDpi="0" verticalDpi="0"/>
  <extLst>
    <ext xmlns:x14="http://schemas.microsoft.com/office/spreadsheetml/2009/9/main" uri="{CCE6A557-97BC-4b89-ADB6-D9C93CAAB3DF}">
      <x14:dataValidations xmlns:xm="http://schemas.microsoft.com/office/excel/2006/main" count="3">
        <x14:dataValidation type="list" allowBlank="1" xr:uid="{00000000-0002-0000-0000-000001000000}">
          <x14:formula1>
            <xm:f>'Drop-downs'!$B$2:$B$16</xm:f>
          </x14:formula1>
          <xm:sqref>E115:E124 E5:E16 E39:E48 E69:E81 E86:E96 E21:E34 E101:E110 E53:E64</xm:sqref>
        </x14:dataValidation>
        <x14:dataValidation type="list" allowBlank="1" xr:uid="{00000000-0002-0000-0000-000002000000}">
          <x14:formula1>
            <xm:f>'Drop-downs'!$A$2:$A$9</xm:f>
          </x14:formula1>
          <xm:sqref>B115:B124 B5:B16 B39:B48 B69:B81 B86:B96 B21:B34 B101:B110 B53:B64</xm:sqref>
        </x14:dataValidation>
        <x14:dataValidation type="list" allowBlank="1" xr:uid="{022AB9B7-3090-420D-A92F-6C31608AE4FF}">
          <x14:formula1>
            <xm:f>'Drop-downs'!$C$2:$C$9</xm:f>
          </x14:formula1>
          <xm:sqref>F5:F16 F115:F124 F39:F48 F69:F81 F86:F96 F21:F34 F101:F110 F53:F64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1"/>
  <sheetViews>
    <sheetView workbookViewId="0">
      <selection activeCell="G4" sqref="G4"/>
    </sheetView>
  </sheetViews>
  <sheetFormatPr defaultColWidth="14.44140625" defaultRowHeight="15" customHeight="1" x14ac:dyDescent="0.25"/>
  <cols>
    <col min="2" max="2" width="27" customWidth="1"/>
    <col min="11" max="11" width="20.44140625" customWidth="1"/>
  </cols>
  <sheetData>
    <row r="2" spans="2:11" ht="13.8" x14ac:dyDescent="0.3">
      <c r="B2" s="17" t="s">
        <v>27</v>
      </c>
      <c r="C2" s="2" t="s">
        <v>28</v>
      </c>
      <c r="D2" s="2" t="s">
        <v>29</v>
      </c>
      <c r="E2" s="2" t="s">
        <v>30</v>
      </c>
      <c r="F2" s="2" t="s">
        <v>31</v>
      </c>
      <c r="G2" s="2" t="s">
        <v>32</v>
      </c>
      <c r="H2" s="2" t="s">
        <v>33</v>
      </c>
      <c r="I2" s="2" t="s">
        <v>34</v>
      </c>
      <c r="J2" s="2" t="s">
        <v>35</v>
      </c>
      <c r="K2" s="4" t="s">
        <v>36</v>
      </c>
    </row>
    <row r="3" spans="2:11" ht="13.8" x14ac:dyDescent="0.3">
      <c r="B3" s="6" t="str">
        <f>'Drop-downs'!C2</f>
        <v>-</v>
      </c>
      <c r="C3" s="8"/>
      <c r="D3" s="8"/>
      <c r="E3" s="8"/>
      <c r="F3" s="8"/>
      <c r="G3" s="8"/>
      <c r="H3" s="8"/>
      <c r="I3" s="8"/>
      <c r="J3" s="8"/>
      <c r="K3" s="9">
        <f t="shared" ref="K3:K10" si="0">SUM(C3:J3)</f>
        <v>0</v>
      </c>
    </row>
    <row r="4" spans="2:11" ht="13.8" x14ac:dyDescent="0.3">
      <c r="B4" s="6" t="str">
        <f>'Drop-downs'!C3</f>
        <v>ILO 1.3</v>
      </c>
      <c r="C4" s="15" cm="1">
        <f t="array" ref="C4">IFERROR(SUM(_xlfn._xlws.FILTER('Worklog_Tasks&amp;Times'!$H$5:$H$16,'Worklog_Tasks&amp;Times'!$F$5:$F$16=$B4)),0)</f>
        <v>30</v>
      </c>
      <c r="D4" s="15" cm="1">
        <f t="array" ref="D4">IFERROR(SUM(_xlfn._xlws.FILTER('Worklog_Tasks&amp;Times'!$H$21:$H$34,'Worklog_Tasks&amp;Times'!$F$21:$F$34=$B4)),0)</f>
        <v>6</v>
      </c>
      <c r="E4" s="15" cm="1">
        <f t="array" ref="E4">IFERROR(SUM(_xlfn._xlws.FILTER('Worklog_Tasks&amp;Times'!$H$39:$H$48,'Worklog_Tasks&amp;Times'!$F$39:$F$48=$B4)),0)</f>
        <v>0</v>
      </c>
      <c r="F4" s="15" cm="1">
        <f t="array" ref="F4">IFERROR(SUM(_xlfn._xlws.FILTER('Worklog_Tasks&amp;Times'!$H$53:$H$64,'Worklog_Tasks&amp;Times'!$F$53:$F$64=$B4)),0)</f>
        <v>0</v>
      </c>
      <c r="G4" s="15" cm="1">
        <f t="array" ref="G4">IFERROR(SUM(_xlfn._xlws.FILTER('Worklog_Tasks&amp;Times'!$H$69:$H$79,'Worklog_Tasks&amp;Times'!$F$69:$F$81=$B4)),0)</f>
        <v>0</v>
      </c>
      <c r="H4" s="15" cm="1">
        <f t="array" ref="H4">IFERROR(SUM(_xlfn._xlws.FILTER('Worklog_Tasks&amp;Times'!$H$86:$H$96,'Worklog_Tasks&amp;Times'!$F$86:$F$96=$B4)),0)</f>
        <v>0</v>
      </c>
      <c r="I4" s="15" cm="1">
        <f t="array" ref="I4">IFERROR(SUM(_xlfn._xlws.FILTER('Worklog_Tasks&amp;Times'!$H$101:$H$110,'Worklog_Tasks&amp;Times'!$F$101:$F$110=$B4)),0)</f>
        <v>0</v>
      </c>
      <c r="J4" s="15" cm="1">
        <f t="array" ref="J4">IFERROR(SUM(_xlfn._xlws.FILTER('Worklog_Tasks&amp;Times'!$H$115:$H$124,'Worklog_Tasks&amp;Times'!$F$115:$F$124=$B4)),0)</f>
        <v>3</v>
      </c>
      <c r="K4" s="9">
        <f t="shared" si="0"/>
        <v>39</v>
      </c>
    </row>
    <row r="5" spans="2:11" ht="13.8" x14ac:dyDescent="0.3">
      <c r="B5" s="6" t="str">
        <f>'Drop-downs'!C4</f>
        <v>ILO 2.3</v>
      </c>
      <c r="C5" s="15" cm="1">
        <f t="array" ref="C5">IFERROR(SUM(_xlfn._xlws.FILTER('Worklog_Tasks&amp;Times'!$H$5:$H$16,'Worklog_Tasks&amp;Times'!$F$5:$F$16=$B5)),0)</f>
        <v>0</v>
      </c>
      <c r="D5" s="15" cm="1">
        <f t="array" ref="D5">IFERROR(SUM(_xlfn._xlws.FILTER('Worklog_Tasks&amp;Times'!$H$21:$H$34,'Worklog_Tasks&amp;Times'!$F$21:$F$34=$B5)),0)</f>
        <v>22</v>
      </c>
      <c r="E5" s="15" cm="1">
        <f t="array" ref="E5">IFERROR(SUM(_xlfn._xlws.FILTER('Worklog_Tasks&amp;Times'!$H$39:$H$48,'Worklog_Tasks&amp;Times'!$F$39:$F$48=$B5)),0)</f>
        <v>0</v>
      </c>
      <c r="F5" s="15" cm="1">
        <f t="array" ref="F5">IFERROR(SUM(_xlfn._xlws.FILTER('Worklog_Tasks&amp;Times'!$H$53:$H$64,'Worklog_Tasks&amp;Times'!$F$53:$F$64=$B5)),0)</f>
        <v>0</v>
      </c>
      <c r="G5" s="15" cm="1">
        <f t="array" ref="G5">IFERROR(SUM(_xlfn._xlws.FILTER('Worklog_Tasks&amp;Times'!$H$69:$H$79,'Worklog_Tasks&amp;Times'!$F$69:$F$81=$B5)),0)</f>
        <v>0</v>
      </c>
      <c r="H5" s="15" cm="1">
        <f t="array" ref="H5">IFERROR(SUM(_xlfn._xlws.FILTER('Worklog_Tasks&amp;Times'!$H$86:$H$96,'Worklog_Tasks&amp;Times'!$F$86:$F$96=$B5)),0)</f>
        <v>4</v>
      </c>
      <c r="I5" s="15" cm="1">
        <f t="array" ref="I5">IFERROR(SUM(_xlfn._xlws.FILTER('Worklog_Tasks&amp;Times'!$H$101:$H$110,'Worklog_Tasks&amp;Times'!$F$101:$F$110=$B5)),0)</f>
        <v>2</v>
      </c>
      <c r="J5" s="15" cm="1">
        <f t="array" ref="J5">IFERROR(SUM(_xlfn._xlws.FILTER('Worklog_Tasks&amp;Times'!$H$115:$H$124,'Worklog_Tasks&amp;Times'!$F$115:$F$124=$B5)),0)</f>
        <v>0</v>
      </c>
      <c r="K5" s="9">
        <f t="shared" si="0"/>
        <v>28</v>
      </c>
    </row>
    <row r="6" spans="2:11" ht="13.8" x14ac:dyDescent="0.3">
      <c r="B6" s="6" t="str">
        <f>'Drop-downs'!C5</f>
        <v>ILO 3.2</v>
      </c>
      <c r="C6" s="15" cm="1">
        <f t="array" ref="C6">IFERROR(SUM(_xlfn._xlws.FILTER('Worklog_Tasks&amp;Times'!$H$5:$H$16,'Worklog_Tasks&amp;Times'!$F$5:$F$16=$B6)),0)</f>
        <v>0</v>
      </c>
      <c r="D6" s="15" cm="1">
        <f t="array" ref="D6">IFERROR(SUM(_xlfn._xlws.FILTER('Worklog_Tasks&amp;Times'!$H$21:$H$34,'Worklog_Tasks&amp;Times'!$F$21:$F$34=$B6)),0)</f>
        <v>0</v>
      </c>
      <c r="E6" s="15" cm="1">
        <f t="array" ref="E6">IFERROR(SUM(_xlfn._xlws.FILTER('Worklog_Tasks&amp;Times'!$H$39:$H$48,'Worklog_Tasks&amp;Times'!$F$39:$F$48=$B6)),0)</f>
        <v>0</v>
      </c>
      <c r="F6" s="15" cm="1">
        <f t="array" ref="F6">IFERROR(SUM(_xlfn._xlws.FILTER('Worklog_Tasks&amp;Times'!$H$53:$H$64,'Worklog_Tasks&amp;Times'!$F$53:$F$64=$B6)),0)</f>
        <v>0</v>
      </c>
      <c r="G6" s="15" cm="1">
        <f t="array" ref="G6">IFERROR(SUM(_xlfn._xlws.FILTER('Worklog_Tasks&amp;Times'!$H$69:$H$79,'Worklog_Tasks&amp;Times'!$F$69:$F$81=$B6)),0)</f>
        <v>0</v>
      </c>
      <c r="H6" s="15" cm="1">
        <f t="array" ref="H6">IFERROR(SUM(_xlfn._xlws.FILTER('Worklog_Tasks&amp;Times'!$H$86:$H$96,'Worklog_Tasks&amp;Times'!$F$86:$F$96=$B6)),0)</f>
        <v>4</v>
      </c>
      <c r="I6" s="15" cm="1">
        <f t="array" ref="I6">IFERROR(SUM(_xlfn._xlws.FILTER('Worklog_Tasks&amp;Times'!$H$101:$H$110,'Worklog_Tasks&amp;Times'!$F$101:$F$110=$B6)),0)</f>
        <v>22</v>
      </c>
      <c r="J6" s="15" cm="1">
        <f t="array" ref="J6">IFERROR(SUM(_xlfn._xlws.FILTER('Worklog_Tasks&amp;Times'!$H$115:$H$124,'Worklog_Tasks&amp;Times'!$F$115:$F$124=$B6)),0)</f>
        <v>0</v>
      </c>
      <c r="K6" s="9">
        <f t="shared" si="0"/>
        <v>26</v>
      </c>
    </row>
    <row r="7" spans="2:11" ht="13.8" x14ac:dyDescent="0.3">
      <c r="B7" s="6" t="str">
        <f>'Drop-downs'!C6</f>
        <v>ILO 4.1</v>
      </c>
      <c r="C7" s="15" cm="1">
        <f t="array" ref="C7">IFERROR(SUM(_xlfn._xlws.FILTER('Worklog_Tasks&amp;Times'!$H$5:$H$16,'Worklog_Tasks&amp;Times'!$F$5:$F$16=$B7)),0)</f>
        <v>0</v>
      </c>
      <c r="D7" s="15" cm="1">
        <f t="array" ref="D7">IFERROR(SUM(_xlfn._xlws.FILTER('Worklog_Tasks&amp;Times'!$H$21:$H$34,'Worklog_Tasks&amp;Times'!$F$21:$F$34=$B7)),0)</f>
        <v>0</v>
      </c>
      <c r="E7" s="15" cm="1">
        <f t="array" ref="E7">IFERROR(SUM(_xlfn._xlws.FILTER('Worklog_Tasks&amp;Times'!$H$39:$H$48,'Worklog_Tasks&amp;Times'!$F$39:$F$48=$B7)),0)</f>
        <v>0</v>
      </c>
      <c r="F7" s="15" cm="1">
        <f t="array" ref="F7">IFERROR(SUM(_xlfn._xlws.FILTER('Worklog_Tasks&amp;Times'!$H$53:$H$64,'Worklog_Tasks&amp;Times'!$F$53:$F$64=$B7)),0)</f>
        <v>0</v>
      </c>
      <c r="G7" s="15" cm="1">
        <f t="array" ref="G7">IFERROR(SUM(_xlfn._xlws.FILTER('Worklog_Tasks&amp;Times'!$H$69:$H$79,'Worklog_Tasks&amp;Times'!$F$69:$F$81=$B7)),0)</f>
        <v>0</v>
      </c>
      <c r="H7" s="15" cm="1">
        <f t="array" ref="H7">IFERROR(SUM(_xlfn._xlws.FILTER('Worklog_Tasks&amp;Times'!$H$86:$H$96,'Worklog_Tasks&amp;Times'!$F$86:$F$96=$B7)),0)</f>
        <v>0</v>
      </c>
      <c r="I7" s="15" cm="1">
        <f t="array" ref="I7">IFERROR(SUM(_xlfn._xlws.FILTER('Worklog_Tasks&amp;Times'!$H$101:$H$110,'Worklog_Tasks&amp;Times'!$F$101:$F$110=$B7)),0)</f>
        <v>0</v>
      </c>
      <c r="J7" s="15" cm="1">
        <f t="array" ref="J7">IFERROR(SUM(_xlfn._xlws.FILTER('Worklog_Tasks&amp;Times'!$H$115:$H$124,'Worklog_Tasks&amp;Times'!$F$115:$F$124=$B7)),0)</f>
        <v>0</v>
      </c>
      <c r="K7" s="9">
        <f t="shared" si="0"/>
        <v>0</v>
      </c>
    </row>
    <row r="8" spans="2:11" ht="13.8" x14ac:dyDescent="0.3">
      <c r="B8" s="6" t="str">
        <f>'Drop-downs'!C7</f>
        <v>ILO 6.2</v>
      </c>
      <c r="C8" s="15" cm="1">
        <f t="array" ref="C8">IFERROR(SUM(_xlfn._xlws.FILTER('Worklog_Tasks&amp;Times'!$H$5:$H$16,'Worklog_Tasks&amp;Times'!$F$5:$F$16=$B8)),0)</f>
        <v>0</v>
      </c>
      <c r="D8" s="15" cm="1">
        <f t="array" ref="D8">IFERROR(SUM(_xlfn._xlws.FILTER('Worklog_Tasks&amp;Times'!$H$21:$H$34,'Worklog_Tasks&amp;Times'!$F$21:$F$34=$B8)),0)</f>
        <v>2</v>
      </c>
      <c r="E8" s="15" cm="1">
        <f t="array" ref="E8">IFERROR(SUM(_xlfn._xlws.FILTER('Worklog_Tasks&amp;Times'!$H$39:$H$48,'Worklog_Tasks&amp;Times'!$F$39:$F$48=$B8)),0)</f>
        <v>4</v>
      </c>
      <c r="F8" s="15" cm="1">
        <f t="array" ref="F8">IFERROR(SUM(_xlfn._xlws.FILTER('Worklog_Tasks&amp;Times'!$H$53:$H$64,'Worklog_Tasks&amp;Times'!$F$53:$F$64=$B8)),0)</f>
        <v>4</v>
      </c>
      <c r="G8" s="15" cm="1">
        <f t="array" ref="G8">IFERROR(SUM(_xlfn._xlws.FILTER('Worklog_Tasks&amp;Times'!$H$69:$H$79,'Worklog_Tasks&amp;Times'!$F$69:$F$81=$B8)),0)</f>
        <v>0</v>
      </c>
      <c r="H8" s="15" cm="1">
        <f t="array" ref="H8">IFERROR(SUM(_xlfn._xlws.FILTER('Worklog_Tasks&amp;Times'!$H$86:$H$96,'Worklog_Tasks&amp;Times'!$F$86:$F$96=$B8)),0)</f>
        <v>6</v>
      </c>
      <c r="I8" s="15" cm="1">
        <f t="array" ref="I8">IFERROR(SUM(_xlfn._xlws.FILTER('Worklog_Tasks&amp;Times'!$H$101:$H$110,'Worklog_Tasks&amp;Times'!$F$101:$F$110=$B8)),0)</f>
        <v>0</v>
      </c>
      <c r="J8" s="15" cm="1">
        <f t="array" ref="J8">IFERROR(SUM(_xlfn._xlws.FILTER('Worklog_Tasks&amp;Times'!$H$115:$H$124,'Worklog_Tasks&amp;Times'!$F$115:$F$124=$B8)),0)</f>
        <v>4</v>
      </c>
      <c r="K8" s="9">
        <f t="shared" ref="K8" si="1">SUM(C8:J8)</f>
        <v>20</v>
      </c>
    </row>
    <row r="9" spans="2:11" ht="13.8" x14ac:dyDescent="0.3">
      <c r="B9" s="6" t="str">
        <f>'Drop-downs'!C8</f>
        <v>ILO 8.2</v>
      </c>
      <c r="C9" s="15" cm="1">
        <f t="array" ref="C9">IFERROR(SUM(_xlfn._xlws.FILTER('Worklog_Tasks&amp;Times'!$H$5:$H$16,'Worklog_Tasks&amp;Times'!$F$5:$F$16=$B9)),0)</f>
        <v>0</v>
      </c>
      <c r="D9" s="15" cm="1">
        <f t="array" ref="D9">IFERROR(SUM(_xlfn._xlws.FILTER('Worklog_Tasks&amp;Times'!$H$21:$H$34,'Worklog_Tasks&amp;Times'!$F$21:$F$34=$B9)),0)</f>
        <v>0</v>
      </c>
      <c r="E9" s="15" cm="1">
        <f t="array" ref="E9">IFERROR(SUM(_xlfn._xlws.FILTER('Worklog_Tasks&amp;Times'!$H$39:$H$48,'Worklog_Tasks&amp;Times'!$F$39:$F$48=$B9)),0)</f>
        <v>16</v>
      </c>
      <c r="F9" s="15" cm="1">
        <f t="array" ref="F9">IFERROR(SUM(_xlfn._xlws.FILTER('Worklog_Tasks&amp;Times'!$H$53:$H$64,'Worklog_Tasks&amp;Times'!$F$53:$F$64=$B9)),0)</f>
        <v>25</v>
      </c>
      <c r="G9" s="15" cm="1">
        <f t="array" ref="G9">IFERROR(SUM(_xlfn._xlws.FILTER('Worklog_Tasks&amp;Times'!$H$69:$H$79,'Worklog_Tasks&amp;Times'!$F$69:$F$81=$B9)),0)</f>
        <v>0</v>
      </c>
      <c r="H9" s="15" cm="1">
        <f t="array" ref="H9">IFERROR(SUM(_xlfn._xlws.FILTER('Worklog_Tasks&amp;Times'!$H$86:$H$96,'Worklog_Tasks&amp;Times'!$F$86:$F$96=$B9)),0)</f>
        <v>3</v>
      </c>
      <c r="I9" s="15" cm="1">
        <f t="array" ref="I9">IFERROR(SUM(_xlfn._xlws.FILTER('Worklog_Tasks&amp;Times'!$H$101:$H$110,'Worklog_Tasks&amp;Times'!$F$101:$F$110=$B9)),0)</f>
        <v>4</v>
      </c>
      <c r="J9" s="15" cm="1">
        <f t="array" ref="J9">IFERROR(SUM(_xlfn._xlws.FILTER('Worklog_Tasks&amp;Times'!$H$115:$H$124,'Worklog_Tasks&amp;Times'!$F$115:$F$124=$B9)),0)</f>
        <v>4</v>
      </c>
      <c r="K9" s="9">
        <f t="shared" si="0"/>
        <v>52</v>
      </c>
    </row>
    <row r="10" spans="2:11" ht="13.8" x14ac:dyDescent="0.3">
      <c r="B10" s="6" t="str">
        <f>'Drop-downs'!C9</f>
        <v>ILO 9.1</v>
      </c>
      <c r="C10" s="15" cm="1">
        <f t="array" ref="C10">IFERROR(SUM(_xlfn._xlws.FILTER('Worklog_Tasks&amp;Times'!$H$5:$H$16,'Worklog_Tasks&amp;Times'!$F$5:$F$16=$B10)),0)</f>
        <v>0</v>
      </c>
      <c r="D10" s="15" cm="1">
        <f t="array" ref="D10">IFERROR(SUM(_xlfn._xlws.FILTER('Worklog_Tasks&amp;Times'!$H$21:$H$34,'Worklog_Tasks&amp;Times'!$F$21:$F$34=$B10)),0)</f>
        <v>0</v>
      </c>
      <c r="E10" s="15" cm="1">
        <f t="array" ref="E10">IFERROR(SUM(_xlfn._xlws.FILTER('Worklog_Tasks&amp;Times'!$H$39:$H$48,'Worklog_Tasks&amp;Times'!$F$39:$F$48=$B10)),0)</f>
        <v>7</v>
      </c>
      <c r="F10" s="15" cm="1">
        <f t="array" ref="F10">IFERROR(SUM(_xlfn._xlws.FILTER('Worklog_Tasks&amp;Times'!$H$53:$H$64,'Worklog_Tasks&amp;Times'!$F$53:$F$64=$B10)),0)</f>
        <v>6</v>
      </c>
      <c r="G10" s="15" cm="1">
        <f t="array" ref="G10">IFERROR(SUM(_xlfn._xlws.FILTER('Worklog_Tasks&amp;Times'!$H$69:$H$79,'Worklog_Tasks&amp;Times'!$F$69:$F$81=$B10)),0)</f>
        <v>0</v>
      </c>
      <c r="H10" s="15" cm="1">
        <f t="array" ref="H10">IFERROR(SUM(_xlfn._xlws.FILTER('Worklog_Tasks&amp;Times'!$H$86:$H$96,'Worklog_Tasks&amp;Times'!$F$86:$F$96=$B10)),0)</f>
        <v>19</v>
      </c>
      <c r="I10" s="15" cm="1">
        <f t="array" ref="I10">IFERROR(SUM(_xlfn._xlws.FILTER('Worklog_Tasks&amp;Times'!$H$101:$H$110,'Worklog_Tasks&amp;Times'!$F$101:$F$110=$B10)),0)</f>
        <v>0</v>
      </c>
      <c r="J10" s="15" cm="1">
        <f t="array" ref="J10">IFERROR(SUM(_xlfn._xlws.FILTER('Worklog_Tasks&amp;Times'!$H$115:$H$124,'Worklog_Tasks&amp;Times'!$F$115:$F$124=$B10)),0)</f>
        <v>16</v>
      </c>
      <c r="K10" s="9">
        <f t="shared" si="0"/>
        <v>48</v>
      </c>
    </row>
    <row r="11" spans="2:11" ht="13.8" x14ac:dyDescent="0.3">
      <c r="B11" s="17" t="s">
        <v>37</v>
      </c>
      <c r="C11" s="18">
        <f>SUM(C3:C10)</f>
        <v>30</v>
      </c>
      <c r="D11" s="18">
        <f t="shared" ref="D11:J11" si="2">SUM(D3:D10)</f>
        <v>30</v>
      </c>
      <c r="E11" s="18">
        <f t="shared" si="2"/>
        <v>27</v>
      </c>
      <c r="F11" s="18">
        <f t="shared" si="2"/>
        <v>35</v>
      </c>
      <c r="G11" s="18">
        <f>SUM(G3:G10)</f>
        <v>0</v>
      </c>
      <c r="H11" s="18">
        <f t="shared" si="2"/>
        <v>36</v>
      </c>
      <c r="I11" s="18">
        <f t="shared" si="2"/>
        <v>28</v>
      </c>
      <c r="J11" s="18">
        <f t="shared" si="2"/>
        <v>27</v>
      </c>
      <c r="K11" s="20"/>
    </row>
    <row r="12" spans="2:11" ht="13.8" x14ac:dyDescent="0.3">
      <c r="B12" s="22"/>
      <c r="C12" s="23"/>
      <c r="D12" s="23"/>
      <c r="E12" s="23"/>
      <c r="F12" s="23"/>
      <c r="G12" s="23"/>
      <c r="H12" s="23"/>
      <c r="I12" s="23"/>
      <c r="J12" s="23"/>
      <c r="K12" s="23"/>
    </row>
    <row r="13" spans="2:11" ht="15" customHeight="1" x14ac:dyDescent="0.25">
      <c r="B13" s="73" t="s">
        <v>38</v>
      </c>
      <c r="C13" s="74"/>
      <c r="D13" s="74"/>
      <c r="E13" s="74"/>
      <c r="F13" s="74"/>
      <c r="G13" s="74"/>
      <c r="H13" s="74"/>
      <c r="I13" s="74"/>
      <c r="J13" s="74"/>
      <c r="K13" s="74"/>
    </row>
    <row r="17" spans="2:6" ht="15" customHeight="1" x14ac:dyDescent="0.25">
      <c r="B17" s="72" t="s">
        <v>62</v>
      </c>
      <c r="C17" s="72"/>
      <c r="D17" s="72"/>
      <c r="E17" s="72"/>
      <c r="F17" s="72"/>
    </row>
    <row r="18" spans="2:6" ht="15" customHeight="1" x14ac:dyDescent="0.25">
      <c r="B18" s="72"/>
      <c r="C18" s="72"/>
      <c r="D18" s="72"/>
      <c r="E18" s="72"/>
      <c r="F18" s="72"/>
    </row>
    <row r="19" spans="2:6" ht="15" customHeight="1" x14ac:dyDescent="0.25">
      <c r="B19" s="72"/>
      <c r="C19" s="72"/>
      <c r="D19" s="72"/>
      <c r="E19" s="72"/>
      <c r="F19" s="72"/>
    </row>
    <row r="20" spans="2:6" ht="15" customHeight="1" x14ac:dyDescent="0.25">
      <c r="B20" s="72"/>
      <c r="C20" s="72"/>
      <c r="D20" s="72"/>
      <c r="E20" s="72"/>
      <c r="F20" s="72"/>
    </row>
    <row r="21" spans="2:6" ht="15" customHeight="1" x14ac:dyDescent="0.25">
      <c r="B21" s="72"/>
      <c r="C21" s="72"/>
      <c r="D21" s="72"/>
      <c r="E21" s="72"/>
      <c r="F21" s="72"/>
    </row>
  </sheetData>
  <mergeCells count="2">
    <mergeCell ref="B17:F21"/>
    <mergeCell ref="B13:K13"/>
  </mergeCells>
  <conditionalFormatting sqref="C11:J11">
    <cfRule type="colorScale" priority="1">
      <colorScale>
        <cfvo type="formula" val="20"/>
        <cfvo type="formula" val="40"/>
        <color rgb="FFE67C73"/>
        <color rgb="FF57BB8A"/>
      </colorScale>
    </cfRule>
  </conditionalFormatting>
  <pageMargins left="0.7" right="0.7" top="0.75" bottom="0.75" header="0.3" footer="0.3"/>
  <ignoredErrors>
    <ignoredError sqref="D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10" sqref="C10"/>
    </sheetView>
  </sheetViews>
  <sheetFormatPr defaultColWidth="14.44140625" defaultRowHeight="15" customHeight="1" x14ac:dyDescent="0.25"/>
  <cols>
    <col min="1" max="6" width="14.44140625" customWidth="1"/>
  </cols>
  <sheetData>
    <row r="1" spans="1:3" ht="15.75" customHeight="1" x14ac:dyDescent="0.25">
      <c r="A1" s="1" t="s">
        <v>39</v>
      </c>
      <c r="B1" s="1" t="s">
        <v>4</v>
      </c>
      <c r="C1" s="1" t="s">
        <v>40</v>
      </c>
    </row>
    <row r="2" spans="1:3" ht="15.75" customHeight="1" x14ac:dyDescent="0.25">
      <c r="A2" t="s">
        <v>41</v>
      </c>
      <c r="B2" t="s">
        <v>41</v>
      </c>
      <c r="C2" s="11" t="s">
        <v>41</v>
      </c>
    </row>
    <row r="3" spans="1:3" ht="15.75" customHeight="1" x14ac:dyDescent="0.25">
      <c r="A3" t="s">
        <v>42</v>
      </c>
      <c r="B3" t="s">
        <v>43</v>
      </c>
      <c r="C3" s="11" t="s">
        <v>63</v>
      </c>
    </row>
    <row r="4" spans="1:3" ht="15.75" customHeight="1" x14ac:dyDescent="0.25">
      <c r="A4" t="s">
        <v>44</v>
      </c>
      <c r="B4" t="s">
        <v>45</v>
      </c>
      <c r="C4" s="11" t="s">
        <v>64</v>
      </c>
    </row>
    <row r="5" spans="1:3" ht="15.75" customHeight="1" x14ac:dyDescent="0.25">
      <c r="A5" t="s">
        <v>46</v>
      </c>
      <c r="B5" t="s">
        <v>47</v>
      </c>
      <c r="C5" s="11" t="s">
        <v>65</v>
      </c>
    </row>
    <row r="6" spans="1:3" ht="15.75" customHeight="1" x14ac:dyDescent="0.25">
      <c r="A6" t="s">
        <v>48</v>
      </c>
      <c r="B6" t="s">
        <v>49</v>
      </c>
      <c r="C6" s="11" t="s">
        <v>66</v>
      </c>
    </row>
    <row r="7" spans="1:3" ht="15.75" customHeight="1" x14ac:dyDescent="0.25">
      <c r="A7" t="s">
        <v>50</v>
      </c>
      <c r="B7" t="s">
        <v>51</v>
      </c>
      <c r="C7" s="11" t="s">
        <v>67</v>
      </c>
    </row>
    <row r="8" spans="1:3" ht="15.75" customHeight="1" x14ac:dyDescent="0.25">
      <c r="A8" t="s">
        <v>52</v>
      </c>
      <c r="B8" t="s">
        <v>53</v>
      </c>
      <c r="C8" s="11" t="s">
        <v>68</v>
      </c>
    </row>
    <row r="9" spans="1:3" ht="15.75" customHeight="1" x14ac:dyDescent="0.25">
      <c r="A9" t="s">
        <v>54</v>
      </c>
      <c r="B9" s="11" t="s">
        <v>55</v>
      </c>
      <c r="C9" s="11" t="s">
        <v>69</v>
      </c>
    </row>
    <row r="10" spans="1:3" ht="15.75" customHeight="1" x14ac:dyDescent="0.25">
      <c r="B10" s="11" t="s">
        <v>56</v>
      </c>
    </row>
    <row r="11" spans="1:3" ht="15.75" customHeight="1" x14ac:dyDescent="0.25">
      <c r="B11" s="11" t="s">
        <v>57</v>
      </c>
    </row>
    <row r="12" spans="1:3" ht="15.75" customHeight="1" x14ac:dyDescent="0.25">
      <c r="B12" s="11" t="s">
        <v>58</v>
      </c>
    </row>
    <row r="13" spans="1:3" ht="15.75" customHeight="1" x14ac:dyDescent="0.25">
      <c r="B13" s="11" t="s">
        <v>59</v>
      </c>
    </row>
    <row r="14" spans="1:3" ht="15.75" customHeight="1" x14ac:dyDescent="0.25">
      <c r="B14" s="11" t="s">
        <v>44</v>
      </c>
    </row>
    <row r="15" spans="1:3" ht="15.75" customHeight="1" x14ac:dyDescent="0.25">
      <c r="B15" s="11" t="s">
        <v>60</v>
      </c>
    </row>
    <row r="16" spans="1:3" ht="15.75" customHeight="1" x14ac:dyDescent="0.25">
      <c r="B16" s="11" t="s">
        <v>61</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4" ma:contentTypeDescription="Create a new document." ma:contentTypeScope="" ma:versionID="9e618b3e3f00639f51cef12547d7d941">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bf7f0975f16758c3f956fd0d38ad8e2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2.xml><?xml version="1.0" encoding="utf-8"?>
<ds:datastoreItem xmlns:ds="http://schemas.openxmlformats.org/officeDocument/2006/customXml" ds:itemID="{320CF63A-30C9-4A8C-8DF9-EA62B8EC1A62}">
  <ds:schemaRefs>
    <ds:schemaRef ds:uri="http://schemas.microsoft.com/office/2006/documentManagement/types"/>
    <ds:schemaRef ds:uri="http://purl.org/dc/elements/1.1/"/>
    <ds:schemaRef ds:uri="http://schemas.microsoft.com/office/2006/metadata/properties"/>
    <ds:schemaRef ds:uri="http://www.w3.org/XML/1998/namespace"/>
    <ds:schemaRef ds:uri="http://schemas.openxmlformats.org/package/2006/metadata/core-properties"/>
    <ds:schemaRef ds:uri="http://purl.org/dc/dcmitype/"/>
    <ds:schemaRef ds:uri="6c8d291c-a5bf-4049-930d-38db8e991d8e"/>
    <ds:schemaRef ds:uri="http://schemas.microsoft.com/office/infopath/2007/PartnerControls"/>
    <ds:schemaRef ds:uri="5ff92c65-ed86-4457-baee-ccd535c9ea21"/>
    <ds:schemaRef ds:uri="http://purl.org/dc/terms/"/>
  </ds:schemaRefs>
</ds:datastoreItem>
</file>

<file path=customXml/itemProps3.xml><?xml version="1.0" encoding="utf-8"?>
<ds:datastoreItem xmlns:ds="http://schemas.openxmlformats.org/officeDocument/2006/customXml" ds:itemID="{F2001D3B-84D9-4121-96E3-CD76FECCC0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ali</dc:creator>
  <cp:keywords/>
  <dc:description/>
  <cp:lastModifiedBy>m.jaberi14979@gmail.com</cp:lastModifiedBy>
  <cp:revision/>
  <dcterms:created xsi:type="dcterms:W3CDTF">2020-05-11T09:26:10Z</dcterms:created>
  <dcterms:modified xsi:type="dcterms:W3CDTF">2025-04-11T10:22:35Z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